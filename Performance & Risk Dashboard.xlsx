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fbc6be75d040eb/Documents/Finance Excel Project/"/>
    </mc:Choice>
  </mc:AlternateContent>
  <xr:revisionPtr revIDLastSave="0" documentId="8_{D0541E80-9325-4CBC-81A0-EAB4E9B46356}" xr6:coauthVersionLast="47" xr6:coauthVersionMax="47" xr10:uidLastSave="{00000000-0000-0000-0000-000000000000}"/>
  <bookViews>
    <workbookView xWindow="-98" yWindow="-98" windowWidth="21795" windowHeight="12975" activeTab="3" xr2:uid="{91E7ABF9-12C2-42E5-8177-C11574EBEC22}"/>
  </bookViews>
  <sheets>
    <sheet name="Data_QQQ" sheetId="1" r:id="rId1"/>
    <sheet name="Calcs" sheetId="2" r:id="rId2"/>
    <sheet name="KPIs" sheetId="3" r:id="rId3"/>
    <sheet name="Dashboar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B3" i="5"/>
  <c r="H3" i="5"/>
  <c r="E3" i="5"/>
  <c r="B10" i="3"/>
  <c r="B9" i="3"/>
  <c r="B8" i="3"/>
  <c r="B7" i="3"/>
  <c r="B6" i="3"/>
  <c r="B5" i="3"/>
  <c r="B4" i="3"/>
  <c r="B3" i="3"/>
  <c r="B2" i="3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21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3" i="2"/>
  <c r="F2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3" i="2"/>
  <c r="E2" i="2"/>
  <c r="D4" i="2"/>
  <c r="D5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3" i="2"/>
  <c r="D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3" i="2"/>
</calcChain>
</file>

<file path=xl/sharedStrings.xml><?xml version="1.0" encoding="utf-8"?>
<sst xmlns="http://schemas.openxmlformats.org/spreadsheetml/2006/main" count="28" uniqueCount="25">
  <si>
    <t>Date</t>
  </si>
  <si>
    <t>Close/Last</t>
  </si>
  <si>
    <t>Volume</t>
  </si>
  <si>
    <t>Open</t>
  </si>
  <si>
    <t>High</t>
  </si>
  <si>
    <t>Low</t>
  </si>
  <si>
    <t>Daily Return</t>
  </si>
  <si>
    <t>Equity ($1 Start)</t>
  </si>
  <si>
    <t>Running Peak</t>
  </si>
  <si>
    <t>Drawdown</t>
  </si>
  <si>
    <t>Rolling 20D Vol</t>
  </si>
  <si>
    <t>Start Date</t>
  </si>
  <si>
    <t>End Date</t>
  </si>
  <si>
    <t>Total Trading Days</t>
  </si>
  <si>
    <t>CAGR (Annual Return)</t>
  </si>
  <si>
    <t>Annual Volatility</t>
  </si>
  <si>
    <t>Sharpe Ratio</t>
  </si>
  <si>
    <t>Max Drawdown</t>
  </si>
  <si>
    <t>Best Day Return</t>
  </si>
  <si>
    <t>Worst Day Return</t>
  </si>
  <si>
    <t>Risk- Free Rate</t>
  </si>
  <si>
    <t>CAGR</t>
  </si>
  <si>
    <t>Annual Vol</t>
  </si>
  <si>
    <t>Sharpe</t>
  </si>
  <si>
    <r>
      <t xml:space="preserve">                              </t>
    </r>
    <r>
      <rPr>
        <b/>
        <sz val="14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</si>
</sst>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9" fontId="4" fillId="5" borderId="1" xfId="1" applyFont="1" applyFill="1" applyBorder="1" applyAlignment="1">
      <alignment horizontal="center"/>
    </xf>
    <xf numFmtId="9" fontId="4" fillId="5" borderId="2" xfId="1" applyFont="1" applyFill="1" applyBorder="1" applyAlignment="1">
      <alignment horizontal="center"/>
    </xf>
    <xf numFmtId="9" fontId="4" fillId="5" borderId="3" xfId="1" applyFont="1" applyFill="1" applyBorder="1" applyAlignment="1">
      <alignment horizontal="center"/>
    </xf>
    <xf numFmtId="9" fontId="4" fillId="5" borderId="4" xfId="1" applyFont="1" applyFill="1" applyBorder="1" applyAlignment="1">
      <alignment horizontal="center"/>
    </xf>
    <xf numFmtId="9" fontId="4" fillId="5" borderId="5" xfId="1" applyFont="1" applyFill="1" applyBorder="1" applyAlignment="1">
      <alignment horizontal="center"/>
    </xf>
    <xf numFmtId="9" fontId="4" fillId="5" borderId="6" xfId="1" applyFont="1" applyFill="1" applyBorder="1" applyAlignment="1">
      <alignment horizontal="center"/>
    </xf>
    <xf numFmtId="9" fontId="4" fillId="2" borderId="1" xfId="1" applyFont="1" applyFill="1" applyBorder="1" applyAlignment="1">
      <alignment horizontal="center"/>
    </xf>
    <xf numFmtId="9" fontId="4" fillId="2" borderId="2" xfId="1" applyFont="1" applyFill="1" applyBorder="1" applyAlignment="1">
      <alignment horizontal="center"/>
    </xf>
    <xf numFmtId="9" fontId="4" fillId="2" borderId="3" xfId="1" applyFont="1" applyFill="1" applyBorder="1" applyAlignment="1">
      <alignment horizontal="center"/>
    </xf>
    <xf numFmtId="9" fontId="4" fillId="2" borderId="4" xfId="1" applyFont="1" applyFill="1" applyBorder="1" applyAlignment="1">
      <alignment horizontal="center"/>
    </xf>
    <xf numFmtId="9" fontId="4" fillId="2" borderId="5" xfId="1" applyFont="1" applyFill="1" applyBorder="1" applyAlignment="1">
      <alignment horizontal="center"/>
    </xf>
    <xf numFmtId="9" fontId="4" fillId="2" borderId="6" xfId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9" fontId="4" fillId="3" borderId="1" xfId="1" applyFont="1" applyFill="1" applyBorder="1" applyAlignment="1">
      <alignment horizontal="center"/>
    </xf>
    <xf numFmtId="9" fontId="4" fillId="3" borderId="2" xfId="1" applyFont="1" applyFill="1" applyBorder="1" applyAlignment="1">
      <alignment horizontal="center"/>
    </xf>
    <xf numFmtId="9" fontId="4" fillId="3" borderId="3" xfId="1" applyFont="1" applyFill="1" applyBorder="1" applyAlignment="1">
      <alignment horizontal="center"/>
    </xf>
    <xf numFmtId="9" fontId="4" fillId="3" borderId="4" xfId="1" applyFont="1" applyFill="1" applyBorder="1" applyAlignment="1">
      <alignment horizontal="center"/>
    </xf>
    <xf numFmtId="9" fontId="4" fillId="3" borderId="5" xfId="1" applyFont="1" applyFill="1" applyBorder="1" applyAlignment="1">
      <alignment horizontal="center"/>
    </xf>
    <xf numFmtId="9" fontId="4" fillId="3" borderId="6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QQQ</a:t>
            </a:r>
            <a:r>
              <a:rPr lang="en-US" sz="2400" b="1" baseline="0"/>
              <a:t> Equity Curve (Start= $1)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Calcs!$D$1</c:f>
              <c:strCache>
                <c:ptCount val="1"/>
                <c:pt idx="0">
                  <c:v>Equity ($1 Start)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Calcs!$A$2:$A$1257</c:f>
              <c:numCache>
                <c:formatCode>m/d/yyyy</c:formatCode>
                <c:ptCount val="1256"/>
                <c:pt idx="0">
                  <c:v>44250</c:v>
                </c:pt>
                <c:pt idx="1">
                  <c:v>44251</c:v>
                </c:pt>
                <c:pt idx="2">
                  <c:v>44252</c:v>
                </c:pt>
                <c:pt idx="3">
                  <c:v>44253</c:v>
                </c:pt>
                <c:pt idx="4">
                  <c:v>44256</c:v>
                </c:pt>
                <c:pt idx="5">
                  <c:v>44257</c:v>
                </c:pt>
                <c:pt idx="6">
                  <c:v>44258</c:v>
                </c:pt>
                <c:pt idx="7">
                  <c:v>44259</c:v>
                </c:pt>
                <c:pt idx="8">
                  <c:v>44260</c:v>
                </c:pt>
                <c:pt idx="9">
                  <c:v>44263</c:v>
                </c:pt>
                <c:pt idx="10">
                  <c:v>44264</c:v>
                </c:pt>
                <c:pt idx="11">
                  <c:v>44265</c:v>
                </c:pt>
                <c:pt idx="12">
                  <c:v>44266</c:v>
                </c:pt>
                <c:pt idx="13">
                  <c:v>44267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44284</c:v>
                </c:pt>
                <c:pt idx="25">
                  <c:v>44285</c:v>
                </c:pt>
                <c:pt idx="26">
                  <c:v>44286</c:v>
                </c:pt>
                <c:pt idx="27">
                  <c:v>44287</c:v>
                </c:pt>
                <c:pt idx="28">
                  <c:v>44291</c:v>
                </c:pt>
                <c:pt idx="29">
                  <c:v>44292</c:v>
                </c:pt>
                <c:pt idx="30">
                  <c:v>44293</c:v>
                </c:pt>
                <c:pt idx="31">
                  <c:v>44294</c:v>
                </c:pt>
                <c:pt idx="32">
                  <c:v>44295</c:v>
                </c:pt>
                <c:pt idx="33">
                  <c:v>44298</c:v>
                </c:pt>
                <c:pt idx="34">
                  <c:v>44299</c:v>
                </c:pt>
                <c:pt idx="35">
                  <c:v>44300</c:v>
                </c:pt>
                <c:pt idx="36">
                  <c:v>44301</c:v>
                </c:pt>
                <c:pt idx="37">
                  <c:v>44302</c:v>
                </c:pt>
                <c:pt idx="38">
                  <c:v>44305</c:v>
                </c:pt>
                <c:pt idx="39">
                  <c:v>44306</c:v>
                </c:pt>
                <c:pt idx="40">
                  <c:v>44307</c:v>
                </c:pt>
                <c:pt idx="41">
                  <c:v>44308</c:v>
                </c:pt>
                <c:pt idx="42">
                  <c:v>44309</c:v>
                </c:pt>
                <c:pt idx="43">
                  <c:v>44312</c:v>
                </c:pt>
                <c:pt idx="44">
                  <c:v>44313</c:v>
                </c:pt>
                <c:pt idx="45">
                  <c:v>44314</c:v>
                </c:pt>
                <c:pt idx="46">
                  <c:v>44315</c:v>
                </c:pt>
                <c:pt idx="47">
                  <c:v>44316</c:v>
                </c:pt>
                <c:pt idx="48">
                  <c:v>44319</c:v>
                </c:pt>
                <c:pt idx="49">
                  <c:v>44320</c:v>
                </c:pt>
                <c:pt idx="50">
                  <c:v>44321</c:v>
                </c:pt>
                <c:pt idx="51">
                  <c:v>44322</c:v>
                </c:pt>
                <c:pt idx="52">
                  <c:v>44323</c:v>
                </c:pt>
                <c:pt idx="53">
                  <c:v>44326</c:v>
                </c:pt>
                <c:pt idx="54">
                  <c:v>44327</c:v>
                </c:pt>
                <c:pt idx="55">
                  <c:v>44328</c:v>
                </c:pt>
                <c:pt idx="56">
                  <c:v>44329</c:v>
                </c:pt>
                <c:pt idx="57">
                  <c:v>44330</c:v>
                </c:pt>
                <c:pt idx="58">
                  <c:v>44333</c:v>
                </c:pt>
                <c:pt idx="59">
                  <c:v>44334</c:v>
                </c:pt>
                <c:pt idx="60">
                  <c:v>44335</c:v>
                </c:pt>
                <c:pt idx="61">
                  <c:v>44336</c:v>
                </c:pt>
                <c:pt idx="62">
                  <c:v>44337</c:v>
                </c:pt>
                <c:pt idx="63">
                  <c:v>44340</c:v>
                </c:pt>
                <c:pt idx="64">
                  <c:v>44341</c:v>
                </c:pt>
                <c:pt idx="65">
                  <c:v>44342</c:v>
                </c:pt>
                <c:pt idx="66">
                  <c:v>44343</c:v>
                </c:pt>
                <c:pt idx="67">
                  <c:v>44344</c:v>
                </c:pt>
                <c:pt idx="68">
                  <c:v>44348</c:v>
                </c:pt>
                <c:pt idx="69">
                  <c:v>44349</c:v>
                </c:pt>
                <c:pt idx="70">
                  <c:v>44350</c:v>
                </c:pt>
                <c:pt idx="71">
                  <c:v>44351</c:v>
                </c:pt>
                <c:pt idx="72">
                  <c:v>44354</c:v>
                </c:pt>
                <c:pt idx="73">
                  <c:v>44355</c:v>
                </c:pt>
                <c:pt idx="74">
                  <c:v>44356</c:v>
                </c:pt>
                <c:pt idx="75">
                  <c:v>44357</c:v>
                </c:pt>
                <c:pt idx="76">
                  <c:v>44358</c:v>
                </c:pt>
                <c:pt idx="77">
                  <c:v>44361</c:v>
                </c:pt>
                <c:pt idx="78">
                  <c:v>44362</c:v>
                </c:pt>
                <c:pt idx="79">
                  <c:v>44363</c:v>
                </c:pt>
                <c:pt idx="80">
                  <c:v>44364</c:v>
                </c:pt>
                <c:pt idx="81">
                  <c:v>44365</c:v>
                </c:pt>
                <c:pt idx="82">
                  <c:v>44368</c:v>
                </c:pt>
                <c:pt idx="83">
                  <c:v>44369</c:v>
                </c:pt>
                <c:pt idx="84">
                  <c:v>44370</c:v>
                </c:pt>
                <c:pt idx="85">
                  <c:v>44371</c:v>
                </c:pt>
                <c:pt idx="86">
                  <c:v>44372</c:v>
                </c:pt>
                <c:pt idx="87">
                  <c:v>44375</c:v>
                </c:pt>
                <c:pt idx="88">
                  <c:v>44376</c:v>
                </c:pt>
                <c:pt idx="89">
                  <c:v>44377</c:v>
                </c:pt>
                <c:pt idx="90">
                  <c:v>44378</c:v>
                </c:pt>
                <c:pt idx="91">
                  <c:v>44379</c:v>
                </c:pt>
                <c:pt idx="92">
                  <c:v>44383</c:v>
                </c:pt>
                <c:pt idx="93">
                  <c:v>44384</c:v>
                </c:pt>
                <c:pt idx="94">
                  <c:v>44385</c:v>
                </c:pt>
                <c:pt idx="95">
                  <c:v>44386</c:v>
                </c:pt>
                <c:pt idx="96">
                  <c:v>44389</c:v>
                </c:pt>
                <c:pt idx="97">
                  <c:v>44390</c:v>
                </c:pt>
                <c:pt idx="98">
                  <c:v>44391</c:v>
                </c:pt>
                <c:pt idx="99">
                  <c:v>44392</c:v>
                </c:pt>
                <c:pt idx="100">
                  <c:v>44393</c:v>
                </c:pt>
                <c:pt idx="101">
                  <c:v>44396</c:v>
                </c:pt>
                <c:pt idx="102">
                  <c:v>44397</c:v>
                </c:pt>
                <c:pt idx="103">
                  <c:v>44398</c:v>
                </c:pt>
                <c:pt idx="104">
                  <c:v>44399</c:v>
                </c:pt>
                <c:pt idx="105">
                  <c:v>44400</c:v>
                </c:pt>
                <c:pt idx="106">
                  <c:v>44403</c:v>
                </c:pt>
                <c:pt idx="107">
                  <c:v>44404</c:v>
                </c:pt>
                <c:pt idx="108">
                  <c:v>44405</c:v>
                </c:pt>
                <c:pt idx="109">
                  <c:v>44406</c:v>
                </c:pt>
                <c:pt idx="110">
                  <c:v>44407</c:v>
                </c:pt>
                <c:pt idx="111">
                  <c:v>44410</c:v>
                </c:pt>
                <c:pt idx="112">
                  <c:v>44411</c:v>
                </c:pt>
                <c:pt idx="113">
                  <c:v>44412</c:v>
                </c:pt>
                <c:pt idx="114">
                  <c:v>44413</c:v>
                </c:pt>
                <c:pt idx="115">
                  <c:v>44414</c:v>
                </c:pt>
                <c:pt idx="116">
                  <c:v>44417</c:v>
                </c:pt>
                <c:pt idx="117">
                  <c:v>44418</c:v>
                </c:pt>
                <c:pt idx="118">
                  <c:v>44419</c:v>
                </c:pt>
                <c:pt idx="119">
                  <c:v>44420</c:v>
                </c:pt>
                <c:pt idx="120">
                  <c:v>44421</c:v>
                </c:pt>
                <c:pt idx="121">
                  <c:v>44424</c:v>
                </c:pt>
                <c:pt idx="122">
                  <c:v>44425</c:v>
                </c:pt>
                <c:pt idx="123">
                  <c:v>44426</c:v>
                </c:pt>
                <c:pt idx="124">
                  <c:v>44427</c:v>
                </c:pt>
                <c:pt idx="125">
                  <c:v>44428</c:v>
                </c:pt>
                <c:pt idx="126">
                  <c:v>44431</c:v>
                </c:pt>
                <c:pt idx="127">
                  <c:v>44432</c:v>
                </c:pt>
                <c:pt idx="128">
                  <c:v>44433</c:v>
                </c:pt>
                <c:pt idx="129">
                  <c:v>44434</c:v>
                </c:pt>
                <c:pt idx="130">
                  <c:v>44435</c:v>
                </c:pt>
                <c:pt idx="131">
                  <c:v>44438</c:v>
                </c:pt>
                <c:pt idx="132">
                  <c:v>44439</c:v>
                </c:pt>
                <c:pt idx="133">
                  <c:v>44440</c:v>
                </c:pt>
                <c:pt idx="134">
                  <c:v>44441</c:v>
                </c:pt>
                <c:pt idx="135">
                  <c:v>44442</c:v>
                </c:pt>
                <c:pt idx="136">
                  <c:v>44446</c:v>
                </c:pt>
                <c:pt idx="137">
                  <c:v>44447</c:v>
                </c:pt>
                <c:pt idx="138">
                  <c:v>44448</c:v>
                </c:pt>
                <c:pt idx="139">
                  <c:v>44449</c:v>
                </c:pt>
                <c:pt idx="140">
                  <c:v>44452</c:v>
                </c:pt>
                <c:pt idx="141">
                  <c:v>44453</c:v>
                </c:pt>
                <c:pt idx="142">
                  <c:v>44454</c:v>
                </c:pt>
                <c:pt idx="143">
                  <c:v>44455</c:v>
                </c:pt>
                <c:pt idx="144">
                  <c:v>44456</c:v>
                </c:pt>
                <c:pt idx="145">
                  <c:v>44459</c:v>
                </c:pt>
                <c:pt idx="146">
                  <c:v>44460</c:v>
                </c:pt>
                <c:pt idx="147">
                  <c:v>44461</c:v>
                </c:pt>
                <c:pt idx="148">
                  <c:v>44462</c:v>
                </c:pt>
                <c:pt idx="149">
                  <c:v>44463</c:v>
                </c:pt>
                <c:pt idx="150">
                  <c:v>44466</c:v>
                </c:pt>
                <c:pt idx="151">
                  <c:v>44467</c:v>
                </c:pt>
                <c:pt idx="152">
                  <c:v>44468</c:v>
                </c:pt>
                <c:pt idx="153">
                  <c:v>44469</c:v>
                </c:pt>
                <c:pt idx="154">
                  <c:v>44470</c:v>
                </c:pt>
                <c:pt idx="155">
                  <c:v>44473</c:v>
                </c:pt>
                <c:pt idx="156">
                  <c:v>44474</c:v>
                </c:pt>
                <c:pt idx="157">
                  <c:v>44475</c:v>
                </c:pt>
                <c:pt idx="158">
                  <c:v>44476</c:v>
                </c:pt>
                <c:pt idx="159">
                  <c:v>44477</c:v>
                </c:pt>
                <c:pt idx="160">
                  <c:v>44480</c:v>
                </c:pt>
                <c:pt idx="161">
                  <c:v>44481</c:v>
                </c:pt>
                <c:pt idx="162">
                  <c:v>44482</c:v>
                </c:pt>
                <c:pt idx="163">
                  <c:v>44483</c:v>
                </c:pt>
                <c:pt idx="164">
                  <c:v>44484</c:v>
                </c:pt>
                <c:pt idx="165">
                  <c:v>44487</c:v>
                </c:pt>
                <c:pt idx="166">
                  <c:v>44488</c:v>
                </c:pt>
                <c:pt idx="167">
                  <c:v>44489</c:v>
                </c:pt>
                <c:pt idx="168">
                  <c:v>44490</c:v>
                </c:pt>
                <c:pt idx="169">
                  <c:v>44491</c:v>
                </c:pt>
                <c:pt idx="170">
                  <c:v>44494</c:v>
                </c:pt>
                <c:pt idx="171">
                  <c:v>44495</c:v>
                </c:pt>
                <c:pt idx="172">
                  <c:v>44496</c:v>
                </c:pt>
                <c:pt idx="173">
                  <c:v>44497</c:v>
                </c:pt>
                <c:pt idx="174">
                  <c:v>44498</c:v>
                </c:pt>
                <c:pt idx="175">
                  <c:v>44501</c:v>
                </c:pt>
                <c:pt idx="176">
                  <c:v>44502</c:v>
                </c:pt>
                <c:pt idx="177">
                  <c:v>44503</c:v>
                </c:pt>
                <c:pt idx="178">
                  <c:v>44504</c:v>
                </c:pt>
                <c:pt idx="179">
                  <c:v>44505</c:v>
                </c:pt>
                <c:pt idx="180">
                  <c:v>44508</c:v>
                </c:pt>
                <c:pt idx="181">
                  <c:v>44509</c:v>
                </c:pt>
                <c:pt idx="182">
                  <c:v>44510</c:v>
                </c:pt>
                <c:pt idx="183">
                  <c:v>44511</c:v>
                </c:pt>
                <c:pt idx="184">
                  <c:v>44512</c:v>
                </c:pt>
                <c:pt idx="185">
                  <c:v>44515</c:v>
                </c:pt>
                <c:pt idx="186">
                  <c:v>44516</c:v>
                </c:pt>
                <c:pt idx="187">
                  <c:v>44517</c:v>
                </c:pt>
                <c:pt idx="188">
                  <c:v>44518</c:v>
                </c:pt>
                <c:pt idx="189">
                  <c:v>44519</c:v>
                </c:pt>
                <c:pt idx="190">
                  <c:v>44522</c:v>
                </c:pt>
                <c:pt idx="191">
                  <c:v>44523</c:v>
                </c:pt>
                <c:pt idx="192">
                  <c:v>44524</c:v>
                </c:pt>
                <c:pt idx="193">
                  <c:v>44526</c:v>
                </c:pt>
                <c:pt idx="194">
                  <c:v>44529</c:v>
                </c:pt>
                <c:pt idx="195">
                  <c:v>44530</c:v>
                </c:pt>
                <c:pt idx="196">
                  <c:v>44531</c:v>
                </c:pt>
                <c:pt idx="197">
                  <c:v>44532</c:v>
                </c:pt>
                <c:pt idx="198">
                  <c:v>44533</c:v>
                </c:pt>
                <c:pt idx="199">
                  <c:v>44536</c:v>
                </c:pt>
                <c:pt idx="200">
                  <c:v>44537</c:v>
                </c:pt>
                <c:pt idx="201">
                  <c:v>44538</c:v>
                </c:pt>
                <c:pt idx="202">
                  <c:v>44539</c:v>
                </c:pt>
                <c:pt idx="203">
                  <c:v>44540</c:v>
                </c:pt>
                <c:pt idx="204">
                  <c:v>44543</c:v>
                </c:pt>
                <c:pt idx="205">
                  <c:v>44544</c:v>
                </c:pt>
                <c:pt idx="206">
                  <c:v>44545</c:v>
                </c:pt>
                <c:pt idx="207">
                  <c:v>44546</c:v>
                </c:pt>
                <c:pt idx="208">
                  <c:v>44547</c:v>
                </c:pt>
                <c:pt idx="209">
                  <c:v>44550</c:v>
                </c:pt>
                <c:pt idx="210">
                  <c:v>44551</c:v>
                </c:pt>
                <c:pt idx="211">
                  <c:v>44552</c:v>
                </c:pt>
                <c:pt idx="212">
                  <c:v>44553</c:v>
                </c:pt>
                <c:pt idx="213">
                  <c:v>44557</c:v>
                </c:pt>
                <c:pt idx="214">
                  <c:v>44558</c:v>
                </c:pt>
                <c:pt idx="215">
                  <c:v>44559</c:v>
                </c:pt>
                <c:pt idx="216">
                  <c:v>44560</c:v>
                </c:pt>
                <c:pt idx="217">
                  <c:v>44561</c:v>
                </c:pt>
                <c:pt idx="218">
                  <c:v>44564</c:v>
                </c:pt>
                <c:pt idx="219">
                  <c:v>44565</c:v>
                </c:pt>
                <c:pt idx="220">
                  <c:v>44566</c:v>
                </c:pt>
                <c:pt idx="221">
                  <c:v>44567</c:v>
                </c:pt>
                <c:pt idx="222">
                  <c:v>44568</c:v>
                </c:pt>
                <c:pt idx="223">
                  <c:v>44571</c:v>
                </c:pt>
                <c:pt idx="224">
                  <c:v>44572</c:v>
                </c:pt>
                <c:pt idx="225">
                  <c:v>44573</c:v>
                </c:pt>
                <c:pt idx="226">
                  <c:v>44574</c:v>
                </c:pt>
                <c:pt idx="227">
                  <c:v>44575</c:v>
                </c:pt>
                <c:pt idx="228">
                  <c:v>44579</c:v>
                </c:pt>
                <c:pt idx="229">
                  <c:v>44580</c:v>
                </c:pt>
                <c:pt idx="230">
                  <c:v>44581</c:v>
                </c:pt>
                <c:pt idx="231">
                  <c:v>44582</c:v>
                </c:pt>
                <c:pt idx="232">
                  <c:v>44585</c:v>
                </c:pt>
                <c:pt idx="233">
                  <c:v>44586</c:v>
                </c:pt>
                <c:pt idx="234">
                  <c:v>44587</c:v>
                </c:pt>
                <c:pt idx="235">
                  <c:v>44588</c:v>
                </c:pt>
                <c:pt idx="236">
                  <c:v>44589</c:v>
                </c:pt>
                <c:pt idx="237">
                  <c:v>44592</c:v>
                </c:pt>
                <c:pt idx="238">
                  <c:v>44593</c:v>
                </c:pt>
                <c:pt idx="239">
                  <c:v>44594</c:v>
                </c:pt>
                <c:pt idx="240">
                  <c:v>44595</c:v>
                </c:pt>
                <c:pt idx="241">
                  <c:v>44596</c:v>
                </c:pt>
                <c:pt idx="242">
                  <c:v>44599</c:v>
                </c:pt>
                <c:pt idx="243">
                  <c:v>44600</c:v>
                </c:pt>
                <c:pt idx="244">
                  <c:v>44601</c:v>
                </c:pt>
                <c:pt idx="245">
                  <c:v>44602</c:v>
                </c:pt>
                <c:pt idx="246">
                  <c:v>44603</c:v>
                </c:pt>
                <c:pt idx="247">
                  <c:v>44606</c:v>
                </c:pt>
                <c:pt idx="248">
                  <c:v>44607</c:v>
                </c:pt>
                <c:pt idx="249">
                  <c:v>44608</c:v>
                </c:pt>
                <c:pt idx="250">
                  <c:v>44609</c:v>
                </c:pt>
                <c:pt idx="251">
                  <c:v>44610</c:v>
                </c:pt>
                <c:pt idx="252">
                  <c:v>44614</c:v>
                </c:pt>
                <c:pt idx="253">
                  <c:v>44615</c:v>
                </c:pt>
                <c:pt idx="254">
                  <c:v>44616</c:v>
                </c:pt>
                <c:pt idx="255">
                  <c:v>44617</c:v>
                </c:pt>
                <c:pt idx="256">
                  <c:v>44620</c:v>
                </c:pt>
                <c:pt idx="257">
                  <c:v>44621</c:v>
                </c:pt>
                <c:pt idx="258">
                  <c:v>44622</c:v>
                </c:pt>
                <c:pt idx="259">
                  <c:v>44623</c:v>
                </c:pt>
                <c:pt idx="260">
                  <c:v>44624</c:v>
                </c:pt>
                <c:pt idx="261">
                  <c:v>44627</c:v>
                </c:pt>
                <c:pt idx="262">
                  <c:v>44628</c:v>
                </c:pt>
                <c:pt idx="263">
                  <c:v>44629</c:v>
                </c:pt>
                <c:pt idx="264">
                  <c:v>44630</c:v>
                </c:pt>
                <c:pt idx="265">
                  <c:v>44631</c:v>
                </c:pt>
                <c:pt idx="266">
                  <c:v>44634</c:v>
                </c:pt>
                <c:pt idx="267">
                  <c:v>44635</c:v>
                </c:pt>
                <c:pt idx="268">
                  <c:v>44636</c:v>
                </c:pt>
                <c:pt idx="269">
                  <c:v>44637</c:v>
                </c:pt>
                <c:pt idx="270">
                  <c:v>44638</c:v>
                </c:pt>
                <c:pt idx="271">
                  <c:v>44641</c:v>
                </c:pt>
                <c:pt idx="272">
                  <c:v>44642</c:v>
                </c:pt>
                <c:pt idx="273">
                  <c:v>44643</c:v>
                </c:pt>
                <c:pt idx="274">
                  <c:v>44644</c:v>
                </c:pt>
                <c:pt idx="275">
                  <c:v>44645</c:v>
                </c:pt>
                <c:pt idx="276">
                  <c:v>44648</c:v>
                </c:pt>
                <c:pt idx="277">
                  <c:v>44649</c:v>
                </c:pt>
                <c:pt idx="278">
                  <c:v>44650</c:v>
                </c:pt>
                <c:pt idx="279">
                  <c:v>44651</c:v>
                </c:pt>
                <c:pt idx="280">
                  <c:v>44652</c:v>
                </c:pt>
                <c:pt idx="281">
                  <c:v>44655</c:v>
                </c:pt>
                <c:pt idx="282">
                  <c:v>44656</c:v>
                </c:pt>
                <c:pt idx="283">
                  <c:v>44657</c:v>
                </c:pt>
                <c:pt idx="284">
                  <c:v>44658</c:v>
                </c:pt>
                <c:pt idx="285">
                  <c:v>44659</c:v>
                </c:pt>
                <c:pt idx="286">
                  <c:v>44662</c:v>
                </c:pt>
                <c:pt idx="287">
                  <c:v>44663</c:v>
                </c:pt>
                <c:pt idx="288">
                  <c:v>44664</c:v>
                </c:pt>
                <c:pt idx="289">
                  <c:v>44665</c:v>
                </c:pt>
                <c:pt idx="290">
                  <c:v>44669</c:v>
                </c:pt>
                <c:pt idx="291">
                  <c:v>44670</c:v>
                </c:pt>
                <c:pt idx="292">
                  <c:v>44671</c:v>
                </c:pt>
                <c:pt idx="293">
                  <c:v>44672</c:v>
                </c:pt>
                <c:pt idx="294">
                  <c:v>44673</c:v>
                </c:pt>
                <c:pt idx="295">
                  <c:v>44676</c:v>
                </c:pt>
                <c:pt idx="296">
                  <c:v>44677</c:v>
                </c:pt>
                <c:pt idx="297">
                  <c:v>44678</c:v>
                </c:pt>
                <c:pt idx="298">
                  <c:v>44679</c:v>
                </c:pt>
                <c:pt idx="299">
                  <c:v>44680</c:v>
                </c:pt>
                <c:pt idx="300">
                  <c:v>44683</c:v>
                </c:pt>
                <c:pt idx="301">
                  <c:v>44684</c:v>
                </c:pt>
                <c:pt idx="302">
                  <c:v>44685</c:v>
                </c:pt>
                <c:pt idx="303">
                  <c:v>44686</c:v>
                </c:pt>
                <c:pt idx="304">
                  <c:v>44687</c:v>
                </c:pt>
                <c:pt idx="305">
                  <c:v>44690</c:v>
                </c:pt>
                <c:pt idx="306">
                  <c:v>44691</c:v>
                </c:pt>
                <c:pt idx="307">
                  <c:v>44692</c:v>
                </c:pt>
                <c:pt idx="308">
                  <c:v>44693</c:v>
                </c:pt>
                <c:pt idx="309">
                  <c:v>44694</c:v>
                </c:pt>
                <c:pt idx="310">
                  <c:v>44697</c:v>
                </c:pt>
                <c:pt idx="311">
                  <c:v>44698</c:v>
                </c:pt>
                <c:pt idx="312">
                  <c:v>44699</c:v>
                </c:pt>
                <c:pt idx="313">
                  <c:v>44700</c:v>
                </c:pt>
                <c:pt idx="314">
                  <c:v>44701</c:v>
                </c:pt>
                <c:pt idx="315">
                  <c:v>44704</c:v>
                </c:pt>
                <c:pt idx="316">
                  <c:v>44705</c:v>
                </c:pt>
                <c:pt idx="317">
                  <c:v>44706</c:v>
                </c:pt>
                <c:pt idx="318">
                  <c:v>44707</c:v>
                </c:pt>
                <c:pt idx="319">
                  <c:v>44708</c:v>
                </c:pt>
                <c:pt idx="320">
                  <c:v>44712</c:v>
                </c:pt>
                <c:pt idx="321">
                  <c:v>44713</c:v>
                </c:pt>
                <c:pt idx="322">
                  <c:v>44714</c:v>
                </c:pt>
                <c:pt idx="323">
                  <c:v>44715</c:v>
                </c:pt>
                <c:pt idx="324">
                  <c:v>44718</c:v>
                </c:pt>
                <c:pt idx="325">
                  <c:v>44719</c:v>
                </c:pt>
                <c:pt idx="326">
                  <c:v>44720</c:v>
                </c:pt>
                <c:pt idx="327">
                  <c:v>44721</c:v>
                </c:pt>
                <c:pt idx="328">
                  <c:v>44722</c:v>
                </c:pt>
                <c:pt idx="329">
                  <c:v>44725</c:v>
                </c:pt>
                <c:pt idx="330">
                  <c:v>44726</c:v>
                </c:pt>
                <c:pt idx="331">
                  <c:v>44727</c:v>
                </c:pt>
                <c:pt idx="332">
                  <c:v>44728</c:v>
                </c:pt>
                <c:pt idx="333">
                  <c:v>44729</c:v>
                </c:pt>
                <c:pt idx="334">
                  <c:v>44733</c:v>
                </c:pt>
                <c:pt idx="335">
                  <c:v>44734</c:v>
                </c:pt>
                <c:pt idx="336">
                  <c:v>44735</c:v>
                </c:pt>
                <c:pt idx="337">
                  <c:v>44736</c:v>
                </c:pt>
                <c:pt idx="338">
                  <c:v>44739</c:v>
                </c:pt>
                <c:pt idx="339">
                  <c:v>44740</c:v>
                </c:pt>
                <c:pt idx="340">
                  <c:v>44741</c:v>
                </c:pt>
                <c:pt idx="341">
                  <c:v>44742</c:v>
                </c:pt>
                <c:pt idx="342">
                  <c:v>44743</c:v>
                </c:pt>
                <c:pt idx="343">
                  <c:v>44747</c:v>
                </c:pt>
                <c:pt idx="344">
                  <c:v>44748</c:v>
                </c:pt>
                <c:pt idx="345">
                  <c:v>44749</c:v>
                </c:pt>
                <c:pt idx="346">
                  <c:v>44750</c:v>
                </c:pt>
                <c:pt idx="347">
                  <c:v>44753</c:v>
                </c:pt>
                <c:pt idx="348">
                  <c:v>44754</c:v>
                </c:pt>
                <c:pt idx="349">
                  <c:v>44755</c:v>
                </c:pt>
                <c:pt idx="350">
                  <c:v>44756</c:v>
                </c:pt>
                <c:pt idx="351">
                  <c:v>44757</c:v>
                </c:pt>
                <c:pt idx="352">
                  <c:v>44760</c:v>
                </c:pt>
                <c:pt idx="353">
                  <c:v>44761</c:v>
                </c:pt>
                <c:pt idx="354">
                  <c:v>44762</c:v>
                </c:pt>
                <c:pt idx="355">
                  <c:v>44763</c:v>
                </c:pt>
                <c:pt idx="356">
                  <c:v>44764</c:v>
                </c:pt>
                <c:pt idx="357">
                  <c:v>44767</c:v>
                </c:pt>
                <c:pt idx="358">
                  <c:v>44768</c:v>
                </c:pt>
                <c:pt idx="359">
                  <c:v>44769</c:v>
                </c:pt>
                <c:pt idx="360">
                  <c:v>44770</c:v>
                </c:pt>
                <c:pt idx="361">
                  <c:v>44771</c:v>
                </c:pt>
                <c:pt idx="362">
                  <c:v>44774</c:v>
                </c:pt>
                <c:pt idx="363">
                  <c:v>44775</c:v>
                </c:pt>
                <c:pt idx="364">
                  <c:v>44776</c:v>
                </c:pt>
                <c:pt idx="365">
                  <c:v>44777</c:v>
                </c:pt>
                <c:pt idx="366">
                  <c:v>44778</c:v>
                </c:pt>
                <c:pt idx="367">
                  <c:v>44781</c:v>
                </c:pt>
                <c:pt idx="368">
                  <c:v>44782</c:v>
                </c:pt>
                <c:pt idx="369">
                  <c:v>44783</c:v>
                </c:pt>
                <c:pt idx="370">
                  <c:v>44784</c:v>
                </c:pt>
                <c:pt idx="371">
                  <c:v>44785</c:v>
                </c:pt>
                <c:pt idx="372">
                  <c:v>44788</c:v>
                </c:pt>
                <c:pt idx="373">
                  <c:v>44789</c:v>
                </c:pt>
                <c:pt idx="374">
                  <c:v>44790</c:v>
                </c:pt>
                <c:pt idx="375">
                  <c:v>44791</c:v>
                </c:pt>
                <c:pt idx="376">
                  <c:v>44792</c:v>
                </c:pt>
                <c:pt idx="377">
                  <c:v>44795</c:v>
                </c:pt>
                <c:pt idx="378">
                  <c:v>44796</c:v>
                </c:pt>
                <c:pt idx="379">
                  <c:v>44797</c:v>
                </c:pt>
                <c:pt idx="380">
                  <c:v>44798</c:v>
                </c:pt>
                <c:pt idx="381">
                  <c:v>44799</c:v>
                </c:pt>
                <c:pt idx="382">
                  <c:v>44802</c:v>
                </c:pt>
                <c:pt idx="383">
                  <c:v>44803</c:v>
                </c:pt>
                <c:pt idx="384">
                  <c:v>44804</c:v>
                </c:pt>
                <c:pt idx="385">
                  <c:v>44805</c:v>
                </c:pt>
                <c:pt idx="386">
                  <c:v>44806</c:v>
                </c:pt>
                <c:pt idx="387">
                  <c:v>44810</c:v>
                </c:pt>
                <c:pt idx="388">
                  <c:v>44811</c:v>
                </c:pt>
                <c:pt idx="389">
                  <c:v>44812</c:v>
                </c:pt>
                <c:pt idx="390">
                  <c:v>44813</c:v>
                </c:pt>
                <c:pt idx="391">
                  <c:v>44816</c:v>
                </c:pt>
                <c:pt idx="392">
                  <c:v>44817</c:v>
                </c:pt>
                <c:pt idx="393">
                  <c:v>44818</c:v>
                </c:pt>
                <c:pt idx="394">
                  <c:v>44819</c:v>
                </c:pt>
                <c:pt idx="395">
                  <c:v>44820</c:v>
                </c:pt>
                <c:pt idx="396">
                  <c:v>44823</c:v>
                </c:pt>
                <c:pt idx="397">
                  <c:v>44824</c:v>
                </c:pt>
                <c:pt idx="398">
                  <c:v>44825</c:v>
                </c:pt>
                <c:pt idx="399">
                  <c:v>44826</c:v>
                </c:pt>
                <c:pt idx="400">
                  <c:v>44827</c:v>
                </c:pt>
                <c:pt idx="401">
                  <c:v>44830</c:v>
                </c:pt>
                <c:pt idx="402">
                  <c:v>44831</c:v>
                </c:pt>
                <c:pt idx="403">
                  <c:v>44832</c:v>
                </c:pt>
                <c:pt idx="404">
                  <c:v>44833</c:v>
                </c:pt>
                <c:pt idx="405">
                  <c:v>44834</c:v>
                </c:pt>
                <c:pt idx="406">
                  <c:v>44837</c:v>
                </c:pt>
                <c:pt idx="407">
                  <c:v>44838</c:v>
                </c:pt>
                <c:pt idx="408">
                  <c:v>44839</c:v>
                </c:pt>
                <c:pt idx="409">
                  <c:v>44840</c:v>
                </c:pt>
                <c:pt idx="410">
                  <c:v>44841</c:v>
                </c:pt>
                <c:pt idx="411">
                  <c:v>44844</c:v>
                </c:pt>
                <c:pt idx="412">
                  <c:v>44845</c:v>
                </c:pt>
                <c:pt idx="413">
                  <c:v>44846</c:v>
                </c:pt>
                <c:pt idx="414">
                  <c:v>44847</c:v>
                </c:pt>
                <c:pt idx="415">
                  <c:v>44848</c:v>
                </c:pt>
                <c:pt idx="416">
                  <c:v>44851</c:v>
                </c:pt>
                <c:pt idx="417">
                  <c:v>44852</c:v>
                </c:pt>
                <c:pt idx="418">
                  <c:v>44853</c:v>
                </c:pt>
                <c:pt idx="419">
                  <c:v>44854</c:v>
                </c:pt>
                <c:pt idx="420">
                  <c:v>44855</c:v>
                </c:pt>
                <c:pt idx="421">
                  <c:v>44858</c:v>
                </c:pt>
                <c:pt idx="422">
                  <c:v>44859</c:v>
                </c:pt>
                <c:pt idx="423">
                  <c:v>44860</c:v>
                </c:pt>
                <c:pt idx="424">
                  <c:v>44861</c:v>
                </c:pt>
                <c:pt idx="425">
                  <c:v>44862</c:v>
                </c:pt>
                <c:pt idx="426">
                  <c:v>44865</c:v>
                </c:pt>
                <c:pt idx="427">
                  <c:v>44866</c:v>
                </c:pt>
                <c:pt idx="428">
                  <c:v>44867</c:v>
                </c:pt>
                <c:pt idx="429">
                  <c:v>44868</c:v>
                </c:pt>
                <c:pt idx="430">
                  <c:v>44869</c:v>
                </c:pt>
                <c:pt idx="431">
                  <c:v>44872</c:v>
                </c:pt>
                <c:pt idx="432">
                  <c:v>44873</c:v>
                </c:pt>
                <c:pt idx="433">
                  <c:v>44874</c:v>
                </c:pt>
                <c:pt idx="434">
                  <c:v>44875</c:v>
                </c:pt>
                <c:pt idx="435">
                  <c:v>44876</c:v>
                </c:pt>
                <c:pt idx="436">
                  <c:v>44879</c:v>
                </c:pt>
                <c:pt idx="437">
                  <c:v>44880</c:v>
                </c:pt>
                <c:pt idx="438">
                  <c:v>44881</c:v>
                </c:pt>
                <c:pt idx="439">
                  <c:v>44882</c:v>
                </c:pt>
                <c:pt idx="440">
                  <c:v>44883</c:v>
                </c:pt>
                <c:pt idx="441">
                  <c:v>44886</c:v>
                </c:pt>
                <c:pt idx="442">
                  <c:v>44887</c:v>
                </c:pt>
                <c:pt idx="443">
                  <c:v>44888</c:v>
                </c:pt>
                <c:pt idx="444">
                  <c:v>44890</c:v>
                </c:pt>
                <c:pt idx="445">
                  <c:v>44893</c:v>
                </c:pt>
                <c:pt idx="446">
                  <c:v>44894</c:v>
                </c:pt>
                <c:pt idx="447">
                  <c:v>44895</c:v>
                </c:pt>
                <c:pt idx="448">
                  <c:v>44896</c:v>
                </c:pt>
                <c:pt idx="449">
                  <c:v>44897</c:v>
                </c:pt>
                <c:pt idx="450">
                  <c:v>44900</c:v>
                </c:pt>
                <c:pt idx="451">
                  <c:v>44901</c:v>
                </c:pt>
                <c:pt idx="452">
                  <c:v>44902</c:v>
                </c:pt>
                <c:pt idx="453">
                  <c:v>44903</c:v>
                </c:pt>
                <c:pt idx="454">
                  <c:v>44904</c:v>
                </c:pt>
                <c:pt idx="455">
                  <c:v>44907</c:v>
                </c:pt>
                <c:pt idx="456">
                  <c:v>44908</c:v>
                </c:pt>
                <c:pt idx="457">
                  <c:v>44909</c:v>
                </c:pt>
                <c:pt idx="458">
                  <c:v>44910</c:v>
                </c:pt>
                <c:pt idx="459">
                  <c:v>44911</c:v>
                </c:pt>
                <c:pt idx="460">
                  <c:v>44914</c:v>
                </c:pt>
                <c:pt idx="461">
                  <c:v>44915</c:v>
                </c:pt>
                <c:pt idx="462">
                  <c:v>44916</c:v>
                </c:pt>
                <c:pt idx="463">
                  <c:v>44917</c:v>
                </c:pt>
                <c:pt idx="464">
                  <c:v>44918</c:v>
                </c:pt>
                <c:pt idx="465">
                  <c:v>44922</c:v>
                </c:pt>
                <c:pt idx="466">
                  <c:v>44923</c:v>
                </c:pt>
                <c:pt idx="467">
                  <c:v>44924</c:v>
                </c:pt>
                <c:pt idx="468">
                  <c:v>44925</c:v>
                </c:pt>
                <c:pt idx="469">
                  <c:v>44929</c:v>
                </c:pt>
                <c:pt idx="470">
                  <c:v>44930</c:v>
                </c:pt>
                <c:pt idx="471">
                  <c:v>44931</c:v>
                </c:pt>
                <c:pt idx="472">
                  <c:v>44932</c:v>
                </c:pt>
                <c:pt idx="473">
                  <c:v>44935</c:v>
                </c:pt>
                <c:pt idx="474">
                  <c:v>44936</c:v>
                </c:pt>
                <c:pt idx="475">
                  <c:v>44937</c:v>
                </c:pt>
                <c:pt idx="476">
                  <c:v>44938</c:v>
                </c:pt>
                <c:pt idx="477">
                  <c:v>44939</c:v>
                </c:pt>
                <c:pt idx="478">
                  <c:v>44943</c:v>
                </c:pt>
                <c:pt idx="479">
                  <c:v>44944</c:v>
                </c:pt>
                <c:pt idx="480">
                  <c:v>44945</c:v>
                </c:pt>
                <c:pt idx="481">
                  <c:v>44946</c:v>
                </c:pt>
                <c:pt idx="482">
                  <c:v>44949</c:v>
                </c:pt>
                <c:pt idx="483">
                  <c:v>44950</c:v>
                </c:pt>
                <c:pt idx="484">
                  <c:v>44951</c:v>
                </c:pt>
                <c:pt idx="485">
                  <c:v>44952</c:v>
                </c:pt>
                <c:pt idx="486">
                  <c:v>44953</c:v>
                </c:pt>
                <c:pt idx="487">
                  <c:v>44956</c:v>
                </c:pt>
                <c:pt idx="488">
                  <c:v>44957</c:v>
                </c:pt>
                <c:pt idx="489">
                  <c:v>44958</c:v>
                </c:pt>
                <c:pt idx="490">
                  <c:v>44959</c:v>
                </c:pt>
                <c:pt idx="491">
                  <c:v>44960</c:v>
                </c:pt>
                <c:pt idx="492">
                  <c:v>44963</c:v>
                </c:pt>
                <c:pt idx="493">
                  <c:v>44964</c:v>
                </c:pt>
                <c:pt idx="494">
                  <c:v>44965</c:v>
                </c:pt>
                <c:pt idx="495">
                  <c:v>44966</c:v>
                </c:pt>
                <c:pt idx="496">
                  <c:v>44967</c:v>
                </c:pt>
                <c:pt idx="497">
                  <c:v>44970</c:v>
                </c:pt>
                <c:pt idx="498">
                  <c:v>44971</c:v>
                </c:pt>
                <c:pt idx="499">
                  <c:v>44972</c:v>
                </c:pt>
                <c:pt idx="500">
                  <c:v>44973</c:v>
                </c:pt>
                <c:pt idx="501">
                  <c:v>44974</c:v>
                </c:pt>
                <c:pt idx="502">
                  <c:v>44978</c:v>
                </c:pt>
                <c:pt idx="503">
                  <c:v>44979</c:v>
                </c:pt>
                <c:pt idx="504">
                  <c:v>44980</c:v>
                </c:pt>
                <c:pt idx="505">
                  <c:v>44981</c:v>
                </c:pt>
                <c:pt idx="506">
                  <c:v>44984</c:v>
                </c:pt>
                <c:pt idx="507">
                  <c:v>44985</c:v>
                </c:pt>
                <c:pt idx="508">
                  <c:v>44986</c:v>
                </c:pt>
                <c:pt idx="509">
                  <c:v>44987</c:v>
                </c:pt>
                <c:pt idx="510">
                  <c:v>44988</c:v>
                </c:pt>
                <c:pt idx="511">
                  <c:v>44991</c:v>
                </c:pt>
                <c:pt idx="512">
                  <c:v>44992</c:v>
                </c:pt>
                <c:pt idx="513">
                  <c:v>44993</c:v>
                </c:pt>
                <c:pt idx="514">
                  <c:v>44994</c:v>
                </c:pt>
                <c:pt idx="515">
                  <c:v>44995</c:v>
                </c:pt>
                <c:pt idx="516">
                  <c:v>44998</c:v>
                </c:pt>
                <c:pt idx="517">
                  <c:v>44999</c:v>
                </c:pt>
                <c:pt idx="518">
                  <c:v>45000</c:v>
                </c:pt>
                <c:pt idx="519">
                  <c:v>45001</c:v>
                </c:pt>
                <c:pt idx="520">
                  <c:v>45002</c:v>
                </c:pt>
                <c:pt idx="521">
                  <c:v>45005</c:v>
                </c:pt>
                <c:pt idx="522">
                  <c:v>45006</c:v>
                </c:pt>
                <c:pt idx="523">
                  <c:v>45007</c:v>
                </c:pt>
                <c:pt idx="524">
                  <c:v>45008</c:v>
                </c:pt>
                <c:pt idx="525">
                  <c:v>45009</c:v>
                </c:pt>
                <c:pt idx="526">
                  <c:v>45012</c:v>
                </c:pt>
                <c:pt idx="527">
                  <c:v>45013</c:v>
                </c:pt>
                <c:pt idx="528">
                  <c:v>45014</c:v>
                </c:pt>
                <c:pt idx="529">
                  <c:v>45015</c:v>
                </c:pt>
                <c:pt idx="530">
                  <c:v>45016</c:v>
                </c:pt>
                <c:pt idx="531">
                  <c:v>45019</c:v>
                </c:pt>
                <c:pt idx="532">
                  <c:v>45020</c:v>
                </c:pt>
                <c:pt idx="533">
                  <c:v>45021</c:v>
                </c:pt>
                <c:pt idx="534">
                  <c:v>45022</c:v>
                </c:pt>
                <c:pt idx="535">
                  <c:v>45026</c:v>
                </c:pt>
                <c:pt idx="536">
                  <c:v>45027</c:v>
                </c:pt>
                <c:pt idx="537">
                  <c:v>45028</c:v>
                </c:pt>
                <c:pt idx="538">
                  <c:v>45029</c:v>
                </c:pt>
                <c:pt idx="539">
                  <c:v>45030</c:v>
                </c:pt>
                <c:pt idx="540">
                  <c:v>45033</c:v>
                </c:pt>
                <c:pt idx="541">
                  <c:v>45034</c:v>
                </c:pt>
                <c:pt idx="542">
                  <c:v>45035</c:v>
                </c:pt>
                <c:pt idx="543">
                  <c:v>45036</c:v>
                </c:pt>
                <c:pt idx="544">
                  <c:v>45037</c:v>
                </c:pt>
                <c:pt idx="545">
                  <c:v>45040</c:v>
                </c:pt>
                <c:pt idx="546">
                  <c:v>45041</c:v>
                </c:pt>
                <c:pt idx="547">
                  <c:v>45042</c:v>
                </c:pt>
                <c:pt idx="548">
                  <c:v>45043</c:v>
                </c:pt>
                <c:pt idx="549">
                  <c:v>45044</c:v>
                </c:pt>
                <c:pt idx="550">
                  <c:v>45047</c:v>
                </c:pt>
                <c:pt idx="551">
                  <c:v>45048</c:v>
                </c:pt>
                <c:pt idx="552">
                  <c:v>45049</c:v>
                </c:pt>
                <c:pt idx="553">
                  <c:v>45050</c:v>
                </c:pt>
                <c:pt idx="554">
                  <c:v>45051</c:v>
                </c:pt>
                <c:pt idx="555">
                  <c:v>45054</c:v>
                </c:pt>
                <c:pt idx="556">
                  <c:v>45055</c:v>
                </c:pt>
                <c:pt idx="557">
                  <c:v>45056</c:v>
                </c:pt>
                <c:pt idx="558">
                  <c:v>45057</c:v>
                </c:pt>
                <c:pt idx="559">
                  <c:v>45058</c:v>
                </c:pt>
                <c:pt idx="560">
                  <c:v>45061</c:v>
                </c:pt>
                <c:pt idx="561">
                  <c:v>45062</c:v>
                </c:pt>
                <c:pt idx="562">
                  <c:v>45063</c:v>
                </c:pt>
                <c:pt idx="563">
                  <c:v>45064</c:v>
                </c:pt>
                <c:pt idx="564">
                  <c:v>45065</c:v>
                </c:pt>
                <c:pt idx="565">
                  <c:v>45068</c:v>
                </c:pt>
                <c:pt idx="566">
                  <c:v>45069</c:v>
                </c:pt>
                <c:pt idx="567">
                  <c:v>45070</c:v>
                </c:pt>
                <c:pt idx="568">
                  <c:v>45071</c:v>
                </c:pt>
                <c:pt idx="569">
                  <c:v>45072</c:v>
                </c:pt>
                <c:pt idx="570">
                  <c:v>45076</c:v>
                </c:pt>
                <c:pt idx="571">
                  <c:v>45077</c:v>
                </c:pt>
                <c:pt idx="572">
                  <c:v>45078</c:v>
                </c:pt>
                <c:pt idx="573">
                  <c:v>45079</c:v>
                </c:pt>
                <c:pt idx="574">
                  <c:v>45082</c:v>
                </c:pt>
                <c:pt idx="575">
                  <c:v>45083</c:v>
                </c:pt>
                <c:pt idx="576">
                  <c:v>45084</c:v>
                </c:pt>
                <c:pt idx="577">
                  <c:v>45085</c:v>
                </c:pt>
                <c:pt idx="578">
                  <c:v>45086</c:v>
                </c:pt>
                <c:pt idx="579">
                  <c:v>45089</c:v>
                </c:pt>
                <c:pt idx="580">
                  <c:v>45090</c:v>
                </c:pt>
                <c:pt idx="581">
                  <c:v>45091</c:v>
                </c:pt>
                <c:pt idx="582">
                  <c:v>45092</c:v>
                </c:pt>
                <c:pt idx="583">
                  <c:v>45093</c:v>
                </c:pt>
                <c:pt idx="584">
                  <c:v>45097</c:v>
                </c:pt>
                <c:pt idx="585">
                  <c:v>45098</c:v>
                </c:pt>
                <c:pt idx="586">
                  <c:v>45099</c:v>
                </c:pt>
                <c:pt idx="587">
                  <c:v>45100</c:v>
                </c:pt>
                <c:pt idx="588">
                  <c:v>45103</c:v>
                </c:pt>
                <c:pt idx="589">
                  <c:v>45104</c:v>
                </c:pt>
                <c:pt idx="590">
                  <c:v>45105</c:v>
                </c:pt>
                <c:pt idx="591">
                  <c:v>45106</c:v>
                </c:pt>
                <c:pt idx="592">
                  <c:v>45107</c:v>
                </c:pt>
                <c:pt idx="593">
                  <c:v>45110</c:v>
                </c:pt>
                <c:pt idx="594">
                  <c:v>45112</c:v>
                </c:pt>
                <c:pt idx="595">
                  <c:v>45113</c:v>
                </c:pt>
                <c:pt idx="596">
                  <c:v>45114</c:v>
                </c:pt>
                <c:pt idx="597">
                  <c:v>45117</c:v>
                </c:pt>
                <c:pt idx="598">
                  <c:v>45118</c:v>
                </c:pt>
                <c:pt idx="599">
                  <c:v>45119</c:v>
                </c:pt>
                <c:pt idx="600">
                  <c:v>45120</c:v>
                </c:pt>
                <c:pt idx="601">
                  <c:v>45121</c:v>
                </c:pt>
                <c:pt idx="602">
                  <c:v>45124</c:v>
                </c:pt>
                <c:pt idx="603">
                  <c:v>45125</c:v>
                </c:pt>
                <c:pt idx="604">
                  <c:v>45126</c:v>
                </c:pt>
                <c:pt idx="605">
                  <c:v>45127</c:v>
                </c:pt>
                <c:pt idx="606">
                  <c:v>45128</c:v>
                </c:pt>
                <c:pt idx="607">
                  <c:v>45131</c:v>
                </c:pt>
                <c:pt idx="608">
                  <c:v>45132</c:v>
                </c:pt>
                <c:pt idx="609">
                  <c:v>45133</c:v>
                </c:pt>
                <c:pt idx="610">
                  <c:v>45134</c:v>
                </c:pt>
                <c:pt idx="611">
                  <c:v>45135</c:v>
                </c:pt>
                <c:pt idx="612">
                  <c:v>45138</c:v>
                </c:pt>
                <c:pt idx="613">
                  <c:v>45139</c:v>
                </c:pt>
                <c:pt idx="614">
                  <c:v>45140</c:v>
                </c:pt>
                <c:pt idx="615">
                  <c:v>45141</c:v>
                </c:pt>
                <c:pt idx="616">
                  <c:v>45142</c:v>
                </c:pt>
                <c:pt idx="617">
                  <c:v>45145</c:v>
                </c:pt>
                <c:pt idx="618">
                  <c:v>45146</c:v>
                </c:pt>
                <c:pt idx="619">
                  <c:v>45147</c:v>
                </c:pt>
                <c:pt idx="620">
                  <c:v>45148</c:v>
                </c:pt>
                <c:pt idx="621">
                  <c:v>45149</c:v>
                </c:pt>
                <c:pt idx="622">
                  <c:v>45152</c:v>
                </c:pt>
                <c:pt idx="623">
                  <c:v>45153</c:v>
                </c:pt>
                <c:pt idx="624">
                  <c:v>45154</c:v>
                </c:pt>
                <c:pt idx="625">
                  <c:v>45155</c:v>
                </c:pt>
                <c:pt idx="626">
                  <c:v>45156</c:v>
                </c:pt>
                <c:pt idx="627">
                  <c:v>45159</c:v>
                </c:pt>
                <c:pt idx="628">
                  <c:v>45160</c:v>
                </c:pt>
                <c:pt idx="629">
                  <c:v>45161</c:v>
                </c:pt>
                <c:pt idx="630">
                  <c:v>45162</c:v>
                </c:pt>
                <c:pt idx="631">
                  <c:v>45163</c:v>
                </c:pt>
                <c:pt idx="632">
                  <c:v>45166</c:v>
                </c:pt>
                <c:pt idx="633">
                  <c:v>45167</c:v>
                </c:pt>
                <c:pt idx="634">
                  <c:v>45168</c:v>
                </c:pt>
                <c:pt idx="635">
                  <c:v>45169</c:v>
                </c:pt>
                <c:pt idx="636">
                  <c:v>45170</c:v>
                </c:pt>
                <c:pt idx="637">
                  <c:v>45174</c:v>
                </c:pt>
                <c:pt idx="638">
                  <c:v>45175</c:v>
                </c:pt>
                <c:pt idx="639">
                  <c:v>45176</c:v>
                </c:pt>
                <c:pt idx="640">
                  <c:v>45177</c:v>
                </c:pt>
                <c:pt idx="641">
                  <c:v>45180</c:v>
                </c:pt>
                <c:pt idx="642">
                  <c:v>45181</c:v>
                </c:pt>
                <c:pt idx="643">
                  <c:v>45182</c:v>
                </c:pt>
                <c:pt idx="644">
                  <c:v>45183</c:v>
                </c:pt>
                <c:pt idx="645">
                  <c:v>45184</c:v>
                </c:pt>
                <c:pt idx="646">
                  <c:v>45187</c:v>
                </c:pt>
                <c:pt idx="647">
                  <c:v>45188</c:v>
                </c:pt>
                <c:pt idx="648">
                  <c:v>45189</c:v>
                </c:pt>
                <c:pt idx="649">
                  <c:v>45190</c:v>
                </c:pt>
                <c:pt idx="650">
                  <c:v>45191</c:v>
                </c:pt>
                <c:pt idx="651">
                  <c:v>45194</c:v>
                </c:pt>
                <c:pt idx="652">
                  <c:v>45195</c:v>
                </c:pt>
                <c:pt idx="653">
                  <c:v>45196</c:v>
                </c:pt>
                <c:pt idx="654">
                  <c:v>45197</c:v>
                </c:pt>
                <c:pt idx="655">
                  <c:v>45198</c:v>
                </c:pt>
                <c:pt idx="656">
                  <c:v>45201</c:v>
                </c:pt>
                <c:pt idx="657">
                  <c:v>45202</c:v>
                </c:pt>
                <c:pt idx="658">
                  <c:v>45203</c:v>
                </c:pt>
                <c:pt idx="659">
                  <c:v>45204</c:v>
                </c:pt>
                <c:pt idx="660">
                  <c:v>45205</c:v>
                </c:pt>
                <c:pt idx="661">
                  <c:v>45208</c:v>
                </c:pt>
                <c:pt idx="662">
                  <c:v>45209</c:v>
                </c:pt>
                <c:pt idx="663">
                  <c:v>45210</c:v>
                </c:pt>
                <c:pt idx="664">
                  <c:v>45211</c:v>
                </c:pt>
                <c:pt idx="665">
                  <c:v>45212</c:v>
                </c:pt>
                <c:pt idx="666">
                  <c:v>45215</c:v>
                </c:pt>
                <c:pt idx="667">
                  <c:v>45216</c:v>
                </c:pt>
                <c:pt idx="668">
                  <c:v>45217</c:v>
                </c:pt>
                <c:pt idx="669">
                  <c:v>45218</c:v>
                </c:pt>
                <c:pt idx="670">
                  <c:v>45219</c:v>
                </c:pt>
                <c:pt idx="671">
                  <c:v>45222</c:v>
                </c:pt>
                <c:pt idx="672">
                  <c:v>45223</c:v>
                </c:pt>
                <c:pt idx="673">
                  <c:v>45224</c:v>
                </c:pt>
                <c:pt idx="674">
                  <c:v>45225</c:v>
                </c:pt>
                <c:pt idx="675">
                  <c:v>45226</c:v>
                </c:pt>
                <c:pt idx="676">
                  <c:v>45229</c:v>
                </c:pt>
                <c:pt idx="677">
                  <c:v>45230</c:v>
                </c:pt>
                <c:pt idx="678">
                  <c:v>45231</c:v>
                </c:pt>
                <c:pt idx="679">
                  <c:v>45232</c:v>
                </c:pt>
                <c:pt idx="680">
                  <c:v>45233</c:v>
                </c:pt>
                <c:pt idx="681">
                  <c:v>45236</c:v>
                </c:pt>
                <c:pt idx="682">
                  <c:v>45237</c:v>
                </c:pt>
                <c:pt idx="683">
                  <c:v>45238</c:v>
                </c:pt>
                <c:pt idx="684">
                  <c:v>45239</c:v>
                </c:pt>
                <c:pt idx="685">
                  <c:v>45240</c:v>
                </c:pt>
                <c:pt idx="686">
                  <c:v>45243</c:v>
                </c:pt>
                <c:pt idx="687">
                  <c:v>45244</c:v>
                </c:pt>
                <c:pt idx="688">
                  <c:v>45245</c:v>
                </c:pt>
                <c:pt idx="689">
                  <c:v>45246</c:v>
                </c:pt>
                <c:pt idx="690">
                  <c:v>45247</c:v>
                </c:pt>
                <c:pt idx="691">
                  <c:v>45250</c:v>
                </c:pt>
                <c:pt idx="692">
                  <c:v>45251</c:v>
                </c:pt>
                <c:pt idx="693">
                  <c:v>45252</c:v>
                </c:pt>
                <c:pt idx="694">
                  <c:v>45254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45264</c:v>
                </c:pt>
                <c:pt idx="701">
                  <c:v>45265</c:v>
                </c:pt>
                <c:pt idx="702">
                  <c:v>45266</c:v>
                </c:pt>
                <c:pt idx="703">
                  <c:v>45267</c:v>
                </c:pt>
                <c:pt idx="704">
                  <c:v>45268</c:v>
                </c:pt>
                <c:pt idx="705">
                  <c:v>45271</c:v>
                </c:pt>
                <c:pt idx="706">
                  <c:v>45272</c:v>
                </c:pt>
                <c:pt idx="707">
                  <c:v>45273</c:v>
                </c:pt>
                <c:pt idx="708">
                  <c:v>45274</c:v>
                </c:pt>
                <c:pt idx="709">
                  <c:v>45275</c:v>
                </c:pt>
                <c:pt idx="710">
                  <c:v>45278</c:v>
                </c:pt>
                <c:pt idx="711">
                  <c:v>45279</c:v>
                </c:pt>
                <c:pt idx="712">
                  <c:v>45280</c:v>
                </c:pt>
                <c:pt idx="713">
                  <c:v>45281</c:v>
                </c:pt>
                <c:pt idx="714">
                  <c:v>45282</c:v>
                </c:pt>
                <c:pt idx="715">
                  <c:v>45286</c:v>
                </c:pt>
                <c:pt idx="716">
                  <c:v>45287</c:v>
                </c:pt>
                <c:pt idx="717">
                  <c:v>45288</c:v>
                </c:pt>
                <c:pt idx="718">
                  <c:v>45289</c:v>
                </c:pt>
                <c:pt idx="719">
                  <c:v>45293</c:v>
                </c:pt>
                <c:pt idx="720">
                  <c:v>45294</c:v>
                </c:pt>
                <c:pt idx="721">
                  <c:v>45295</c:v>
                </c:pt>
                <c:pt idx="722">
                  <c:v>45296</c:v>
                </c:pt>
                <c:pt idx="723">
                  <c:v>45299</c:v>
                </c:pt>
                <c:pt idx="724">
                  <c:v>45300</c:v>
                </c:pt>
                <c:pt idx="725">
                  <c:v>45301</c:v>
                </c:pt>
                <c:pt idx="726">
                  <c:v>45302</c:v>
                </c:pt>
                <c:pt idx="727">
                  <c:v>45303</c:v>
                </c:pt>
                <c:pt idx="728">
                  <c:v>45307</c:v>
                </c:pt>
                <c:pt idx="729">
                  <c:v>45308</c:v>
                </c:pt>
                <c:pt idx="730">
                  <c:v>45309</c:v>
                </c:pt>
                <c:pt idx="731">
                  <c:v>45310</c:v>
                </c:pt>
                <c:pt idx="732">
                  <c:v>45313</c:v>
                </c:pt>
                <c:pt idx="733">
                  <c:v>45314</c:v>
                </c:pt>
                <c:pt idx="734">
                  <c:v>45315</c:v>
                </c:pt>
                <c:pt idx="735">
                  <c:v>45316</c:v>
                </c:pt>
                <c:pt idx="736">
                  <c:v>45317</c:v>
                </c:pt>
                <c:pt idx="737">
                  <c:v>45320</c:v>
                </c:pt>
                <c:pt idx="738">
                  <c:v>45321</c:v>
                </c:pt>
                <c:pt idx="739">
                  <c:v>45322</c:v>
                </c:pt>
                <c:pt idx="740">
                  <c:v>45323</c:v>
                </c:pt>
                <c:pt idx="741">
                  <c:v>45324</c:v>
                </c:pt>
                <c:pt idx="742">
                  <c:v>45327</c:v>
                </c:pt>
                <c:pt idx="743">
                  <c:v>45328</c:v>
                </c:pt>
                <c:pt idx="744">
                  <c:v>45329</c:v>
                </c:pt>
                <c:pt idx="745">
                  <c:v>45330</c:v>
                </c:pt>
                <c:pt idx="746">
                  <c:v>45331</c:v>
                </c:pt>
                <c:pt idx="747">
                  <c:v>45334</c:v>
                </c:pt>
                <c:pt idx="748">
                  <c:v>45335</c:v>
                </c:pt>
                <c:pt idx="749">
                  <c:v>45336</c:v>
                </c:pt>
                <c:pt idx="750">
                  <c:v>45337</c:v>
                </c:pt>
                <c:pt idx="751">
                  <c:v>45338</c:v>
                </c:pt>
                <c:pt idx="752">
                  <c:v>45342</c:v>
                </c:pt>
                <c:pt idx="753">
                  <c:v>45343</c:v>
                </c:pt>
                <c:pt idx="754">
                  <c:v>45344</c:v>
                </c:pt>
                <c:pt idx="755">
                  <c:v>45345</c:v>
                </c:pt>
                <c:pt idx="756">
                  <c:v>45348</c:v>
                </c:pt>
                <c:pt idx="757">
                  <c:v>45349</c:v>
                </c:pt>
                <c:pt idx="758">
                  <c:v>45350</c:v>
                </c:pt>
                <c:pt idx="759">
                  <c:v>45351</c:v>
                </c:pt>
                <c:pt idx="760">
                  <c:v>45352</c:v>
                </c:pt>
                <c:pt idx="761">
                  <c:v>45355</c:v>
                </c:pt>
                <c:pt idx="762">
                  <c:v>45356</c:v>
                </c:pt>
                <c:pt idx="763">
                  <c:v>45357</c:v>
                </c:pt>
                <c:pt idx="764">
                  <c:v>45358</c:v>
                </c:pt>
                <c:pt idx="765">
                  <c:v>45359</c:v>
                </c:pt>
                <c:pt idx="766">
                  <c:v>45362</c:v>
                </c:pt>
                <c:pt idx="767">
                  <c:v>45363</c:v>
                </c:pt>
                <c:pt idx="768">
                  <c:v>45364</c:v>
                </c:pt>
                <c:pt idx="769">
                  <c:v>45365</c:v>
                </c:pt>
                <c:pt idx="770">
                  <c:v>45366</c:v>
                </c:pt>
                <c:pt idx="771">
                  <c:v>45369</c:v>
                </c:pt>
                <c:pt idx="772">
                  <c:v>45370</c:v>
                </c:pt>
                <c:pt idx="773">
                  <c:v>45371</c:v>
                </c:pt>
                <c:pt idx="774">
                  <c:v>45372</c:v>
                </c:pt>
                <c:pt idx="775">
                  <c:v>45373</c:v>
                </c:pt>
                <c:pt idx="776">
                  <c:v>45376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45393</c:v>
                </c:pt>
                <c:pt idx="789">
                  <c:v>45394</c:v>
                </c:pt>
                <c:pt idx="790">
                  <c:v>45397</c:v>
                </c:pt>
                <c:pt idx="791">
                  <c:v>45398</c:v>
                </c:pt>
                <c:pt idx="792">
                  <c:v>45399</c:v>
                </c:pt>
                <c:pt idx="793">
                  <c:v>45400</c:v>
                </c:pt>
                <c:pt idx="794">
                  <c:v>45401</c:v>
                </c:pt>
                <c:pt idx="795">
                  <c:v>45404</c:v>
                </c:pt>
                <c:pt idx="796">
                  <c:v>45405</c:v>
                </c:pt>
                <c:pt idx="797">
                  <c:v>45406</c:v>
                </c:pt>
                <c:pt idx="798">
                  <c:v>45407</c:v>
                </c:pt>
                <c:pt idx="799">
                  <c:v>45408</c:v>
                </c:pt>
                <c:pt idx="800">
                  <c:v>45411</c:v>
                </c:pt>
                <c:pt idx="801">
                  <c:v>45412</c:v>
                </c:pt>
                <c:pt idx="802">
                  <c:v>45413</c:v>
                </c:pt>
                <c:pt idx="803">
                  <c:v>45414</c:v>
                </c:pt>
                <c:pt idx="804">
                  <c:v>45415</c:v>
                </c:pt>
                <c:pt idx="805">
                  <c:v>45418</c:v>
                </c:pt>
                <c:pt idx="806">
                  <c:v>45419</c:v>
                </c:pt>
                <c:pt idx="807">
                  <c:v>45420</c:v>
                </c:pt>
                <c:pt idx="808">
                  <c:v>45421</c:v>
                </c:pt>
                <c:pt idx="809">
                  <c:v>45422</c:v>
                </c:pt>
                <c:pt idx="810">
                  <c:v>45425</c:v>
                </c:pt>
                <c:pt idx="811">
                  <c:v>45426</c:v>
                </c:pt>
                <c:pt idx="812">
                  <c:v>45427</c:v>
                </c:pt>
                <c:pt idx="813">
                  <c:v>45428</c:v>
                </c:pt>
                <c:pt idx="814">
                  <c:v>45429</c:v>
                </c:pt>
                <c:pt idx="815">
                  <c:v>45432</c:v>
                </c:pt>
                <c:pt idx="816">
                  <c:v>45433</c:v>
                </c:pt>
                <c:pt idx="817">
                  <c:v>45434</c:v>
                </c:pt>
                <c:pt idx="818">
                  <c:v>45435</c:v>
                </c:pt>
                <c:pt idx="819">
                  <c:v>45436</c:v>
                </c:pt>
                <c:pt idx="820">
                  <c:v>45440</c:v>
                </c:pt>
                <c:pt idx="821">
                  <c:v>45441</c:v>
                </c:pt>
                <c:pt idx="822">
                  <c:v>45442</c:v>
                </c:pt>
                <c:pt idx="823">
                  <c:v>45443</c:v>
                </c:pt>
                <c:pt idx="824">
                  <c:v>45446</c:v>
                </c:pt>
                <c:pt idx="825">
                  <c:v>45447</c:v>
                </c:pt>
                <c:pt idx="826">
                  <c:v>45448</c:v>
                </c:pt>
                <c:pt idx="827">
                  <c:v>45449</c:v>
                </c:pt>
                <c:pt idx="828">
                  <c:v>45450</c:v>
                </c:pt>
                <c:pt idx="829">
                  <c:v>45453</c:v>
                </c:pt>
                <c:pt idx="830">
                  <c:v>45454</c:v>
                </c:pt>
                <c:pt idx="831">
                  <c:v>45455</c:v>
                </c:pt>
                <c:pt idx="832">
                  <c:v>45456</c:v>
                </c:pt>
                <c:pt idx="833">
                  <c:v>45457</c:v>
                </c:pt>
                <c:pt idx="834">
                  <c:v>45460</c:v>
                </c:pt>
                <c:pt idx="835">
                  <c:v>45461</c:v>
                </c:pt>
                <c:pt idx="836">
                  <c:v>45463</c:v>
                </c:pt>
                <c:pt idx="837">
                  <c:v>45464</c:v>
                </c:pt>
                <c:pt idx="838">
                  <c:v>45467</c:v>
                </c:pt>
                <c:pt idx="839">
                  <c:v>45468</c:v>
                </c:pt>
                <c:pt idx="840">
                  <c:v>45469</c:v>
                </c:pt>
                <c:pt idx="841">
                  <c:v>45470</c:v>
                </c:pt>
                <c:pt idx="842">
                  <c:v>45471</c:v>
                </c:pt>
                <c:pt idx="843">
                  <c:v>45474</c:v>
                </c:pt>
                <c:pt idx="844">
                  <c:v>45475</c:v>
                </c:pt>
                <c:pt idx="845">
                  <c:v>45476</c:v>
                </c:pt>
                <c:pt idx="846">
                  <c:v>45478</c:v>
                </c:pt>
                <c:pt idx="847">
                  <c:v>45481</c:v>
                </c:pt>
                <c:pt idx="848">
                  <c:v>45482</c:v>
                </c:pt>
                <c:pt idx="849">
                  <c:v>45483</c:v>
                </c:pt>
                <c:pt idx="850">
                  <c:v>45484</c:v>
                </c:pt>
                <c:pt idx="851">
                  <c:v>45485</c:v>
                </c:pt>
                <c:pt idx="852">
                  <c:v>45488</c:v>
                </c:pt>
                <c:pt idx="853">
                  <c:v>45489</c:v>
                </c:pt>
                <c:pt idx="854">
                  <c:v>45490</c:v>
                </c:pt>
                <c:pt idx="855">
                  <c:v>45491</c:v>
                </c:pt>
                <c:pt idx="856">
                  <c:v>45492</c:v>
                </c:pt>
                <c:pt idx="857">
                  <c:v>45495</c:v>
                </c:pt>
                <c:pt idx="858">
                  <c:v>45496</c:v>
                </c:pt>
                <c:pt idx="859">
                  <c:v>45497</c:v>
                </c:pt>
                <c:pt idx="860">
                  <c:v>45498</c:v>
                </c:pt>
                <c:pt idx="861">
                  <c:v>45499</c:v>
                </c:pt>
                <c:pt idx="862">
                  <c:v>45502</c:v>
                </c:pt>
                <c:pt idx="863">
                  <c:v>45503</c:v>
                </c:pt>
                <c:pt idx="864">
                  <c:v>45504</c:v>
                </c:pt>
                <c:pt idx="865">
                  <c:v>45505</c:v>
                </c:pt>
                <c:pt idx="866">
                  <c:v>45506</c:v>
                </c:pt>
                <c:pt idx="867">
                  <c:v>45509</c:v>
                </c:pt>
                <c:pt idx="868">
                  <c:v>45510</c:v>
                </c:pt>
                <c:pt idx="869">
                  <c:v>45511</c:v>
                </c:pt>
                <c:pt idx="870">
                  <c:v>45512</c:v>
                </c:pt>
                <c:pt idx="871">
                  <c:v>45513</c:v>
                </c:pt>
                <c:pt idx="872">
                  <c:v>45516</c:v>
                </c:pt>
                <c:pt idx="873">
                  <c:v>45517</c:v>
                </c:pt>
                <c:pt idx="874">
                  <c:v>45518</c:v>
                </c:pt>
                <c:pt idx="875">
                  <c:v>45519</c:v>
                </c:pt>
                <c:pt idx="876">
                  <c:v>45520</c:v>
                </c:pt>
                <c:pt idx="877">
                  <c:v>45523</c:v>
                </c:pt>
                <c:pt idx="878">
                  <c:v>45524</c:v>
                </c:pt>
                <c:pt idx="879">
                  <c:v>45525</c:v>
                </c:pt>
                <c:pt idx="880">
                  <c:v>45526</c:v>
                </c:pt>
                <c:pt idx="881">
                  <c:v>45527</c:v>
                </c:pt>
                <c:pt idx="882">
                  <c:v>45530</c:v>
                </c:pt>
                <c:pt idx="883">
                  <c:v>45531</c:v>
                </c:pt>
                <c:pt idx="884">
                  <c:v>45532</c:v>
                </c:pt>
                <c:pt idx="885">
                  <c:v>45533</c:v>
                </c:pt>
                <c:pt idx="886">
                  <c:v>45534</c:v>
                </c:pt>
                <c:pt idx="887">
                  <c:v>45538</c:v>
                </c:pt>
                <c:pt idx="888">
                  <c:v>45539</c:v>
                </c:pt>
                <c:pt idx="889">
                  <c:v>45540</c:v>
                </c:pt>
                <c:pt idx="890">
                  <c:v>45541</c:v>
                </c:pt>
                <c:pt idx="891">
                  <c:v>45544</c:v>
                </c:pt>
                <c:pt idx="892">
                  <c:v>45545</c:v>
                </c:pt>
                <c:pt idx="893">
                  <c:v>45546</c:v>
                </c:pt>
                <c:pt idx="894">
                  <c:v>45547</c:v>
                </c:pt>
                <c:pt idx="895">
                  <c:v>45548</c:v>
                </c:pt>
                <c:pt idx="896">
                  <c:v>45551</c:v>
                </c:pt>
                <c:pt idx="897">
                  <c:v>45552</c:v>
                </c:pt>
                <c:pt idx="898">
                  <c:v>45553</c:v>
                </c:pt>
                <c:pt idx="899">
                  <c:v>45554</c:v>
                </c:pt>
                <c:pt idx="900">
                  <c:v>45555</c:v>
                </c:pt>
                <c:pt idx="901">
                  <c:v>45558</c:v>
                </c:pt>
                <c:pt idx="902">
                  <c:v>45559</c:v>
                </c:pt>
                <c:pt idx="903">
                  <c:v>45560</c:v>
                </c:pt>
                <c:pt idx="904">
                  <c:v>45561</c:v>
                </c:pt>
                <c:pt idx="905">
                  <c:v>45562</c:v>
                </c:pt>
                <c:pt idx="906">
                  <c:v>45565</c:v>
                </c:pt>
                <c:pt idx="907">
                  <c:v>45566</c:v>
                </c:pt>
                <c:pt idx="908">
                  <c:v>45567</c:v>
                </c:pt>
                <c:pt idx="909">
                  <c:v>45568</c:v>
                </c:pt>
                <c:pt idx="910">
                  <c:v>45569</c:v>
                </c:pt>
                <c:pt idx="911">
                  <c:v>45572</c:v>
                </c:pt>
                <c:pt idx="912">
                  <c:v>45573</c:v>
                </c:pt>
                <c:pt idx="913">
                  <c:v>45574</c:v>
                </c:pt>
                <c:pt idx="914">
                  <c:v>45575</c:v>
                </c:pt>
                <c:pt idx="915">
                  <c:v>45576</c:v>
                </c:pt>
                <c:pt idx="916">
                  <c:v>45579</c:v>
                </c:pt>
                <c:pt idx="917">
                  <c:v>45580</c:v>
                </c:pt>
                <c:pt idx="918">
                  <c:v>45581</c:v>
                </c:pt>
                <c:pt idx="919">
                  <c:v>45582</c:v>
                </c:pt>
                <c:pt idx="920">
                  <c:v>45583</c:v>
                </c:pt>
                <c:pt idx="921">
                  <c:v>45586</c:v>
                </c:pt>
                <c:pt idx="922">
                  <c:v>45587</c:v>
                </c:pt>
                <c:pt idx="923">
                  <c:v>45588</c:v>
                </c:pt>
                <c:pt idx="924">
                  <c:v>45589</c:v>
                </c:pt>
                <c:pt idx="925">
                  <c:v>45590</c:v>
                </c:pt>
                <c:pt idx="926">
                  <c:v>45593</c:v>
                </c:pt>
                <c:pt idx="927">
                  <c:v>45594</c:v>
                </c:pt>
                <c:pt idx="928">
                  <c:v>45595</c:v>
                </c:pt>
                <c:pt idx="929">
                  <c:v>45596</c:v>
                </c:pt>
                <c:pt idx="930">
                  <c:v>45597</c:v>
                </c:pt>
                <c:pt idx="931">
                  <c:v>45600</c:v>
                </c:pt>
                <c:pt idx="932">
                  <c:v>45601</c:v>
                </c:pt>
                <c:pt idx="933">
                  <c:v>45602</c:v>
                </c:pt>
                <c:pt idx="934">
                  <c:v>45603</c:v>
                </c:pt>
                <c:pt idx="935">
                  <c:v>45604</c:v>
                </c:pt>
                <c:pt idx="936">
                  <c:v>45607</c:v>
                </c:pt>
                <c:pt idx="937">
                  <c:v>45608</c:v>
                </c:pt>
                <c:pt idx="938">
                  <c:v>45609</c:v>
                </c:pt>
                <c:pt idx="939">
                  <c:v>45610</c:v>
                </c:pt>
                <c:pt idx="940">
                  <c:v>45611</c:v>
                </c:pt>
                <c:pt idx="941">
                  <c:v>45614</c:v>
                </c:pt>
                <c:pt idx="942">
                  <c:v>45615</c:v>
                </c:pt>
                <c:pt idx="943">
                  <c:v>45616</c:v>
                </c:pt>
                <c:pt idx="944">
                  <c:v>45617</c:v>
                </c:pt>
                <c:pt idx="945">
                  <c:v>45618</c:v>
                </c:pt>
                <c:pt idx="946">
                  <c:v>45621</c:v>
                </c:pt>
                <c:pt idx="947">
                  <c:v>45622</c:v>
                </c:pt>
                <c:pt idx="948">
                  <c:v>45623</c:v>
                </c:pt>
                <c:pt idx="949">
                  <c:v>45625</c:v>
                </c:pt>
                <c:pt idx="950">
                  <c:v>45628</c:v>
                </c:pt>
                <c:pt idx="951">
                  <c:v>45629</c:v>
                </c:pt>
                <c:pt idx="952">
                  <c:v>45630</c:v>
                </c:pt>
                <c:pt idx="953">
                  <c:v>45631</c:v>
                </c:pt>
                <c:pt idx="954">
                  <c:v>45632</c:v>
                </c:pt>
                <c:pt idx="955">
                  <c:v>45635</c:v>
                </c:pt>
                <c:pt idx="956">
                  <c:v>45636</c:v>
                </c:pt>
                <c:pt idx="957">
                  <c:v>45637</c:v>
                </c:pt>
                <c:pt idx="958">
                  <c:v>45638</c:v>
                </c:pt>
                <c:pt idx="959">
                  <c:v>45639</c:v>
                </c:pt>
                <c:pt idx="960">
                  <c:v>45642</c:v>
                </c:pt>
                <c:pt idx="961">
                  <c:v>45643</c:v>
                </c:pt>
                <c:pt idx="962">
                  <c:v>45644</c:v>
                </c:pt>
                <c:pt idx="963">
                  <c:v>45645</c:v>
                </c:pt>
                <c:pt idx="964">
                  <c:v>45646</c:v>
                </c:pt>
                <c:pt idx="965">
                  <c:v>45649</c:v>
                </c:pt>
                <c:pt idx="966">
                  <c:v>45650</c:v>
                </c:pt>
                <c:pt idx="967">
                  <c:v>45652</c:v>
                </c:pt>
                <c:pt idx="968">
                  <c:v>45653</c:v>
                </c:pt>
                <c:pt idx="969">
                  <c:v>45656</c:v>
                </c:pt>
                <c:pt idx="970">
                  <c:v>45657</c:v>
                </c:pt>
                <c:pt idx="971">
                  <c:v>45659</c:v>
                </c:pt>
                <c:pt idx="972">
                  <c:v>45660</c:v>
                </c:pt>
                <c:pt idx="973">
                  <c:v>45663</c:v>
                </c:pt>
                <c:pt idx="974">
                  <c:v>45664</c:v>
                </c:pt>
                <c:pt idx="975">
                  <c:v>45665</c:v>
                </c:pt>
                <c:pt idx="976">
                  <c:v>45667</c:v>
                </c:pt>
                <c:pt idx="977">
                  <c:v>45670</c:v>
                </c:pt>
                <c:pt idx="978">
                  <c:v>45671</c:v>
                </c:pt>
                <c:pt idx="979">
                  <c:v>45672</c:v>
                </c:pt>
                <c:pt idx="980">
                  <c:v>45673</c:v>
                </c:pt>
                <c:pt idx="981">
                  <c:v>45674</c:v>
                </c:pt>
                <c:pt idx="982">
                  <c:v>45678</c:v>
                </c:pt>
                <c:pt idx="983">
                  <c:v>45679</c:v>
                </c:pt>
                <c:pt idx="984">
                  <c:v>45680</c:v>
                </c:pt>
                <c:pt idx="985">
                  <c:v>45681</c:v>
                </c:pt>
                <c:pt idx="986">
                  <c:v>45684</c:v>
                </c:pt>
                <c:pt idx="987">
                  <c:v>45685</c:v>
                </c:pt>
                <c:pt idx="988">
                  <c:v>45686</c:v>
                </c:pt>
                <c:pt idx="989">
                  <c:v>45687</c:v>
                </c:pt>
                <c:pt idx="990">
                  <c:v>45688</c:v>
                </c:pt>
                <c:pt idx="991">
                  <c:v>45691</c:v>
                </c:pt>
                <c:pt idx="992">
                  <c:v>45692</c:v>
                </c:pt>
                <c:pt idx="993">
                  <c:v>45693</c:v>
                </c:pt>
                <c:pt idx="994">
                  <c:v>45694</c:v>
                </c:pt>
                <c:pt idx="995">
                  <c:v>45695</c:v>
                </c:pt>
                <c:pt idx="996">
                  <c:v>45698</c:v>
                </c:pt>
                <c:pt idx="997">
                  <c:v>45699</c:v>
                </c:pt>
                <c:pt idx="998">
                  <c:v>45700</c:v>
                </c:pt>
                <c:pt idx="999">
                  <c:v>45701</c:v>
                </c:pt>
                <c:pt idx="1000">
                  <c:v>45702</c:v>
                </c:pt>
                <c:pt idx="1001">
                  <c:v>45706</c:v>
                </c:pt>
                <c:pt idx="1002">
                  <c:v>45707</c:v>
                </c:pt>
                <c:pt idx="1003">
                  <c:v>45708</c:v>
                </c:pt>
                <c:pt idx="1004">
                  <c:v>45709</c:v>
                </c:pt>
                <c:pt idx="1005">
                  <c:v>45712</c:v>
                </c:pt>
                <c:pt idx="1006">
                  <c:v>45713</c:v>
                </c:pt>
                <c:pt idx="1007">
                  <c:v>45714</c:v>
                </c:pt>
                <c:pt idx="1008">
                  <c:v>45715</c:v>
                </c:pt>
                <c:pt idx="1009">
                  <c:v>45716</c:v>
                </c:pt>
                <c:pt idx="1010">
                  <c:v>45719</c:v>
                </c:pt>
                <c:pt idx="1011">
                  <c:v>45720</c:v>
                </c:pt>
                <c:pt idx="1012">
                  <c:v>45721</c:v>
                </c:pt>
                <c:pt idx="1013">
                  <c:v>45722</c:v>
                </c:pt>
                <c:pt idx="1014">
                  <c:v>45723</c:v>
                </c:pt>
                <c:pt idx="1015">
                  <c:v>45726</c:v>
                </c:pt>
                <c:pt idx="1016">
                  <c:v>45727</c:v>
                </c:pt>
                <c:pt idx="1017">
                  <c:v>45728</c:v>
                </c:pt>
                <c:pt idx="1018">
                  <c:v>45729</c:v>
                </c:pt>
                <c:pt idx="1019">
                  <c:v>45730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45740</c:v>
                </c:pt>
                <c:pt idx="1026">
                  <c:v>45741</c:v>
                </c:pt>
                <c:pt idx="1027">
                  <c:v>45742</c:v>
                </c:pt>
                <c:pt idx="1028">
                  <c:v>45743</c:v>
                </c:pt>
                <c:pt idx="1029">
                  <c:v>45744</c:v>
                </c:pt>
                <c:pt idx="1030">
                  <c:v>45747</c:v>
                </c:pt>
                <c:pt idx="1031">
                  <c:v>45748</c:v>
                </c:pt>
                <c:pt idx="1032">
                  <c:v>45749</c:v>
                </c:pt>
                <c:pt idx="1033">
                  <c:v>45750</c:v>
                </c:pt>
                <c:pt idx="1034">
                  <c:v>45751</c:v>
                </c:pt>
                <c:pt idx="1035">
                  <c:v>45754</c:v>
                </c:pt>
                <c:pt idx="1036">
                  <c:v>45755</c:v>
                </c:pt>
                <c:pt idx="1037">
                  <c:v>45756</c:v>
                </c:pt>
                <c:pt idx="1038">
                  <c:v>45757</c:v>
                </c:pt>
                <c:pt idx="1039">
                  <c:v>45758</c:v>
                </c:pt>
                <c:pt idx="1040">
                  <c:v>45761</c:v>
                </c:pt>
                <c:pt idx="1041">
                  <c:v>45762</c:v>
                </c:pt>
                <c:pt idx="1042">
                  <c:v>45763</c:v>
                </c:pt>
                <c:pt idx="1043">
                  <c:v>45764</c:v>
                </c:pt>
                <c:pt idx="1044">
                  <c:v>45768</c:v>
                </c:pt>
                <c:pt idx="1045">
                  <c:v>45769</c:v>
                </c:pt>
                <c:pt idx="1046">
                  <c:v>45770</c:v>
                </c:pt>
                <c:pt idx="1047">
                  <c:v>45771</c:v>
                </c:pt>
                <c:pt idx="1048">
                  <c:v>45772</c:v>
                </c:pt>
                <c:pt idx="1049">
                  <c:v>45775</c:v>
                </c:pt>
                <c:pt idx="1050">
                  <c:v>45776</c:v>
                </c:pt>
                <c:pt idx="1051">
                  <c:v>45777</c:v>
                </c:pt>
                <c:pt idx="1052">
                  <c:v>45778</c:v>
                </c:pt>
                <c:pt idx="1053">
                  <c:v>45779</c:v>
                </c:pt>
                <c:pt idx="1054">
                  <c:v>45782</c:v>
                </c:pt>
                <c:pt idx="1055">
                  <c:v>45783</c:v>
                </c:pt>
                <c:pt idx="1056">
                  <c:v>45784</c:v>
                </c:pt>
                <c:pt idx="1057">
                  <c:v>45785</c:v>
                </c:pt>
                <c:pt idx="1058">
                  <c:v>45786</c:v>
                </c:pt>
                <c:pt idx="1059">
                  <c:v>45789</c:v>
                </c:pt>
                <c:pt idx="1060">
                  <c:v>45790</c:v>
                </c:pt>
                <c:pt idx="1061">
                  <c:v>45791</c:v>
                </c:pt>
                <c:pt idx="1062">
                  <c:v>45792</c:v>
                </c:pt>
                <c:pt idx="1063">
                  <c:v>45793</c:v>
                </c:pt>
                <c:pt idx="1064">
                  <c:v>45796</c:v>
                </c:pt>
                <c:pt idx="1065">
                  <c:v>45797</c:v>
                </c:pt>
                <c:pt idx="1066">
                  <c:v>45798</c:v>
                </c:pt>
                <c:pt idx="1067">
                  <c:v>45799</c:v>
                </c:pt>
                <c:pt idx="1068">
                  <c:v>45800</c:v>
                </c:pt>
                <c:pt idx="1069">
                  <c:v>45804</c:v>
                </c:pt>
                <c:pt idx="1070">
                  <c:v>45805</c:v>
                </c:pt>
                <c:pt idx="1071">
                  <c:v>45806</c:v>
                </c:pt>
                <c:pt idx="1072">
                  <c:v>45807</c:v>
                </c:pt>
                <c:pt idx="1073">
                  <c:v>45810</c:v>
                </c:pt>
                <c:pt idx="1074">
                  <c:v>45811</c:v>
                </c:pt>
                <c:pt idx="1075">
                  <c:v>45812</c:v>
                </c:pt>
                <c:pt idx="1076">
                  <c:v>45813</c:v>
                </c:pt>
                <c:pt idx="1077">
                  <c:v>45814</c:v>
                </c:pt>
                <c:pt idx="1078">
                  <c:v>45817</c:v>
                </c:pt>
                <c:pt idx="1079">
                  <c:v>45818</c:v>
                </c:pt>
                <c:pt idx="1080">
                  <c:v>45819</c:v>
                </c:pt>
                <c:pt idx="1081">
                  <c:v>45820</c:v>
                </c:pt>
                <c:pt idx="1082">
                  <c:v>45821</c:v>
                </c:pt>
                <c:pt idx="1083">
                  <c:v>45824</c:v>
                </c:pt>
                <c:pt idx="1084">
                  <c:v>45825</c:v>
                </c:pt>
                <c:pt idx="1085">
                  <c:v>45826</c:v>
                </c:pt>
                <c:pt idx="1086">
                  <c:v>45828</c:v>
                </c:pt>
                <c:pt idx="1087">
                  <c:v>45831</c:v>
                </c:pt>
                <c:pt idx="1088">
                  <c:v>45832</c:v>
                </c:pt>
                <c:pt idx="1089">
                  <c:v>45833</c:v>
                </c:pt>
                <c:pt idx="1090">
                  <c:v>45834</c:v>
                </c:pt>
                <c:pt idx="1091">
                  <c:v>45835</c:v>
                </c:pt>
                <c:pt idx="1092">
                  <c:v>45838</c:v>
                </c:pt>
                <c:pt idx="1093">
                  <c:v>45839</c:v>
                </c:pt>
                <c:pt idx="1094">
                  <c:v>45840</c:v>
                </c:pt>
                <c:pt idx="1095">
                  <c:v>45841</c:v>
                </c:pt>
                <c:pt idx="1096">
                  <c:v>45845</c:v>
                </c:pt>
                <c:pt idx="1097">
                  <c:v>45846</c:v>
                </c:pt>
                <c:pt idx="1098">
                  <c:v>45847</c:v>
                </c:pt>
                <c:pt idx="1099">
                  <c:v>45848</c:v>
                </c:pt>
                <c:pt idx="1100">
                  <c:v>45849</c:v>
                </c:pt>
                <c:pt idx="1101">
                  <c:v>45852</c:v>
                </c:pt>
                <c:pt idx="1102">
                  <c:v>45853</c:v>
                </c:pt>
                <c:pt idx="1103">
                  <c:v>45854</c:v>
                </c:pt>
                <c:pt idx="1104">
                  <c:v>45855</c:v>
                </c:pt>
                <c:pt idx="1105">
                  <c:v>45856</c:v>
                </c:pt>
                <c:pt idx="1106">
                  <c:v>45859</c:v>
                </c:pt>
                <c:pt idx="1107">
                  <c:v>45860</c:v>
                </c:pt>
                <c:pt idx="1108">
                  <c:v>45861</c:v>
                </c:pt>
                <c:pt idx="1109">
                  <c:v>45862</c:v>
                </c:pt>
                <c:pt idx="1110">
                  <c:v>45863</c:v>
                </c:pt>
                <c:pt idx="1111">
                  <c:v>45866</c:v>
                </c:pt>
                <c:pt idx="1112">
                  <c:v>45867</c:v>
                </c:pt>
                <c:pt idx="1113">
                  <c:v>45868</c:v>
                </c:pt>
                <c:pt idx="1114">
                  <c:v>45869</c:v>
                </c:pt>
                <c:pt idx="1115">
                  <c:v>45870</c:v>
                </c:pt>
                <c:pt idx="1116">
                  <c:v>45873</c:v>
                </c:pt>
                <c:pt idx="1117">
                  <c:v>45874</c:v>
                </c:pt>
                <c:pt idx="1118">
                  <c:v>45875</c:v>
                </c:pt>
                <c:pt idx="1119">
                  <c:v>45876</c:v>
                </c:pt>
                <c:pt idx="1120">
                  <c:v>45877</c:v>
                </c:pt>
                <c:pt idx="1121">
                  <c:v>45880</c:v>
                </c:pt>
                <c:pt idx="1122">
                  <c:v>45881</c:v>
                </c:pt>
                <c:pt idx="1123">
                  <c:v>45882</c:v>
                </c:pt>
                <c:pt idx="1124">
                  <c:v>45883</c:v>
                </c:pt>
                <c:pt idx="1125">
                  <c:v>45884</c:v>
                </c:pt>
                <c:pt idx="1126">
                  <c:v>45887</c:v>
                </c:pt>
                <c:pt idx="1127">
                  <c:v>45888</c:v>
                </c:pt>
                <c:pt idx="1128">
                  <c:v>45889</c:v>
                </c:pt>
                <c:pt idx="1129">
                  <c:v>45890</c:v>
                </c:pt>
                <c:pt idx="1130">
                  <c:v>45891</c:v>
                </c:pt>
                <c:pt idx="1131">
                  <c:v>45894</c:v>
                </c:pt>
                <c:pt idx="1132">
                  <c:v>45895</c:v>
                </c:pt>
                <c:pt idx="1133">
                  <c:v>45896</c:v>
                </c:pt>
                <c:pt idx="1134">
                  <c:v>45897</c:v>
                </c:pt>
                <c:pt idx="1135">
                  <c:v>45898</c:v>
                </c:pt>
                <c:pt idx="1136">
                  <c:v>45902</c:v>
                </c:pt>
                <c:pt idx="1137">
                  <c:v>45903</c:v>
                </c:pt>
                <c:pt idx="1138">
                  <c:v>45904</c:v>
                </c:pt>
                <c:pt idx="1139">
                  <c:v>45905</c:v>
                </c:pt>
                <c:pt idx="1140">
                  <c:v>45908</c:v>
                </c:pt>
                <c:pt idx="1141">
                  <c:v>45909</c:v>
                </c:pt>
                <c:pt idx="1142">
                  <c:v>45910</c:v>
                </c:pt>
                <c:pt idx="1143">
                  <c:v>45911</c:v>
                </c:pt>
                <c:pt idx="1144">
                  <c:v>45912</c:v>
                </c:pt>
                <c:pt idx="1145">
                  <c:v>45915</c:v>
                </c:pt>
                <c:pt idx="1146">
                  <c:v>45916</c:v>
                </c:pt>
                <c:pt idx="1147">
                  <c:v>45917</c:v>
                </c:pt>
                <c:pt idx="1148">
                  <c:v>45918</c:v>
                </c:pt>
                <c:pt idx="1149">
                  <c:v>45919</c:v>
                </c:pt>
                <c:pt idx="1150">
                  <c:v>45922</c:v>
                </c:pt>
                <c:pt idx="1151">
                  <c:v>45923</c:v>
                </c:pt>
                <c:pt idx="1152">
                  <c:v>45924</c:v>
                </c:pt>
                <c:pt idx="1153">
                  <c:v>45925</c:v>
                </c:pt>
                <c:pt idx="1154">
                  <c:v>45926</c:v>
                </c:pt>
                <c:pt idx="1155">
                  <c:v>45929</c:v>
                </c:pt>
                <c:pt idx="1156">
                  <c:v>45930</c:v>
                </c:pt>
                <c:pt idx="1157">
                  <c:v>45931</c:v>
                </c:pt>
                <c:pt idx="1158">
                  <c:v>45932</c:v>
                </c:pt>
                <c:pt idx="1159">
                  <c:v>45933</c:v>
                </c:pt>
                <c:pt idx="1160">
                  <c:v>45936</c:v>
                </c:pt>
                <c:pt idx="1161">
                  <c:v>45937</c:v>
                </c:pt>
                <c:pt idx="1162">
                  <c:v>45938</c:v>
                </c:pt>
                <c:pt idx="1163">
                  <c:v>45939</c:v>
                </c:pt>
                <c:pt idx="1164">
                  <c:v>45940</c:v>
                </c:pt>
                <c:pt idx="1165">
                  <c:v>45943</c:v>
                </c:pt>
                <c:pt idx="1166">
                  <c:v>45944</c:v>
                </c:pt>
                <c:pt idx="1167">
                  <c:v>45945</c:v>
                </c:pt>
                <c:pt idx="1168">
                  <c:v>45946</c:v>
                </c:pt>
                <c:pt idx="1169">
                  <c:v>45947</c:v>
                </c:pt>
                <c:pt idx="1170">
                  <c:v>45950</c:v>
                </c:pt>
                <c:pt idx="1171">
                  <c:v>45951</c:v>
                </c:pt>
                <c:pt idx="1172">
                  <c:v>45952</c:v>
                </c:pt>
                <c:pt idx="1173">
                  <c:v>45953</c:v>
                </c:pt>
                <c:pt idx="1174">
                  <c:v>45954</c:v>
                </c:pt>
                <c:pt idx="1175">
                  <c:v>45957</c:v>
                </c:pt>
                <c:pt idx="1176">
                  <c:v>45958</c:v>
                </c:pt>
                <c:pt idx="1177">
                  <c:v>45959</c:v>
                </c:pt>
                <c:pt idx="1178">
                  <c:v>45960</c:v>
                </c:pt>
                <c:pt idx="1179">
                  <c:v>45961</c:v>
                </c:pt>
                <c:pt idx="1180">
                  <c:v>45964</c:v>
                </c:pt>
                <c:pt idx="1181">
                  <c:v>45965</c:v>
                </c:pt>
                <c:pt idx="1182">
                  <c:v>45966</c:v>
                </c:pt>
                <c:pt idx="1183">
                  <c:v>45967</c:v>
                </c:pt>
                <c:pt idx="1184">
                  <c:v>45968</c:v>
                </c:pt>
                <c:pt idx="1185">
                  <c:v>45971</c:v>
                </c:pt>
                <c:pt idx="1186">
                  <c:v>45972</c:v>
                </c:pt>
                <c:pt idx="1187">
                  <c:v>45973</c:v>
                </c:pt>
                <c:pt idx="1188">
                  <c:v>45974</c:v>
                </c:pt>
                <c:pt idx="1189">
                  <c:v>45975</c:v>
                </c:pt>
                <c:pt idx="1190">
                  <c:v>45978</c:v>
                </c:pt>
                <c:pt idx="1191">
                  <c:v>45979</c:v>
                </c:pt>
                <c:pt idx="1192">
                  <c:v>45980</c:v>
                </c:pt>
                <c:pt idx="1193">
                  <c:v>45981</c:v>
                </c:pt>
                <c:pt idx="1194">
                  <c:v>45982</c:v>
                </c:pt>
                <c:pt idx="1195">
                  <c:v>45985</c:v>
                </c:pt>
                <c:pt idx="1196">
                  <c:v>45986</c:v>
                </c:pt>
                <c:pt idx="1197">
                  <c:v>45987</c:v>
                </c:pt>
                <c:pt idx="1198">
                  <c:v>45989</c:v>
                </c:pt>
                <c:pt idx="1199">
                  <c:v>45992</c:v>
                </c:pt>
                <c:pt idx="1200">
                  <c:v>45993</c:v>
                </c:pt>
                <c:pt idx="1201">
                  <c:v>45994</c:v>
                </c:pt>
                <c:pt idx="1202">
                  <c:v>45995</c:v>
                </c:pt>
                <c:pt idx="1203">
                  <c:v>45996</c:v>
                </c:pt>
                <c:pt idx="1204">
                  <c:v>45999</c:v>
                </c:pt>
                <c:pt idx="1205">
                  <c:v>46000</c:v>
                </c:pt>
                <c:pt idx="1206">
                  <c:v>46001</c:v>
                </c:pt>
                <c:pt idx="1207">
                  <c:v>46002</c:v>
                </c:pt>
                <c:pt idx="1208">
                  <c:v>46003</c:v>
                </c:pt>
                <c:pt idx="1209">
                  <c:v>46006</c:v>
                </c:pt>
                <c:pt idx="1210">
                  <c:v>46007</c:v>
                </c:pt>
                <c:pt idx="1211">
                  <c:v>46008</c:v>
                </c:pt>
                <c:pt idx="1212">
                  <c:v>46009</c:v>
                </c:pt>
                <c:pt idx="1213">
                  <c:v>46010</c:v>
                </c:pt>
                <c:pt idx="1214">
                  <c:v>46013</c:v>
                </c:pt>
                <c:pt idx="1215">
                  <c:v>46014</c:v>
                </c:pt>
                <c:pt idx="1216">
                  <c:v>46015</c:v>
                </c:pt>
                <c:pt idx="1217">
                  <c:v>46017</c:v>
                </c:pt>
                <c:pt idx="1218">
                  <c:v>46020</c:v>
                </c:pt>
                <c:pt idx="1219">
                  <c:v>46021</c:v>
                </c:pt>
                <c:pt idx="1220">
                  <c:v>46022</c:v>
                </c:pt>
                <c:pt idx="1221">
                  <c:v>46024</c:v>
                </c:pt>
                <c:pt idx="1222">
                  <c:v>46027</c:v>
                </c:pt>
                <c:pt idx="1223">
                  <c:v>46028</c:v>
                </c:pt>
                <c:pt idx="1224">
                  <c:v>46029</c:v>
                </c:pt>
                <c:pt idx="1225">
                  <c:v>46030</c:v>
                </c:pt>
                <c:pt idx="1226">
                  <c:v>46031</c:v>
                </c:pt>
                <c:pt idx="1227">
                  <c:v>46034</c:v>
                </c:pt>
                <c:pt idx="1228">
                  <c:v>46035</c:v>
                </c:pt>
                <c:pt idx="1229">
                  <c:v>46036</c:v>
                </c:pt>
                <c:pt idx="1230">
                  <c:v>46037</c:v>
                </c:pt>
                <c:pt idx="1231">
                  <c:v>46038</c:v>
                </c:pt>
                <c:pt idx="1232">
                  <c:v>46042</c:v>
                </c:pt>
                <c:pt idx="1233">
                  <c:v>46043</c:v>
                </c:pt>
                <c:pt idx="1234">
                  <c:v>46044</c:v>
                </c:pt>
                <c:pt idx="1235">
                  <c:v>46045</c:v>
                </c:pt>
                <c:pt idx="1236">
                  <c:v>46048</c:v>
                </c:pt>
                <c:pt idx="1237">
                  <c:v>46049</c:v>
                </c:pt>
                <c:pt idx="1238">
                  <c:v>46050</c:v>
                </c:pt>
                <c:pt idx="1239">
                  <c:v>46051</c:v>
                </c:pt>
                <c:pt idx="1240">
                  <c:v>46052</c:v>
                </c:pt>
                <c:pt idx="1241">
                  <c:v>46055</c:v>
                </c:pt>
                <c:pt idx="1242">
                  <c:v>46056</c:v>
                </c:pt>
                <c:pt idx="1243">
                  <c:v>46057</c:v>
                </c:pt>
                <c:pt idx="1244">
                  <c:v>46058</c:v>
                </c:pt>
                <c:pt idx="1245">
                  <c:v>46059</c:v>
                </c:pt>
                <c:pt idx="1246">
                  <c:v>46062</c:v>
                </c:pt>
                <c:pt idx="1247">
                  <c:v>46063</c:v>
                </c:pt>
                <c:pt idx="1248">
                  <c:v>46064</c:v>
                </c:pt>
                <c:pt idx="1249">
                  <c:v>46065</c:v>
                </c:pt>
                <c:pt idx="1250">
                  <c:v>46066</c:v>
                </c:pt>
                <c:pt idx="1251">
                  <c:v>46070</c:v>
                </c:pt>
                <c:pt idx="1252">
                  <c:v>46071</c:v>
                </c:pt>
                <c:pt idx="1253">
                  <c:v>46072</c:v>
                </c:pt>
                <c:pt idx="1254">
                  <c:v>46073</c:v>
                </c:pt>
              </c:numCache>
            </c:numRef>
          </c:cat>
          <c:val>
            <c:numRef>
              <c:f>Calcs!$D$2:$D$1257</c:f>
              <c:numCache>
                <c:formatCode>General</c:formatCode>
                <c:ptCount val="1256"/>
                <c:pt idx="0">
                  <c:v>1</c:v>
                </c:pt>
                <c:pt idx="1">
                  <c:v>1.0082431255443574</c:v>
                </c:pt>
                <c:pt idx="2">
                  <c:v>0.97309319397785232</c:v>
                </c:pt>
                <c:pt idx="3">
                  <c:v>0.9771680975488366</c:v>
                </c:pt>
                <c:pt idx="4">
                  <c:v>1.0065633943013563</c:v>
                </c:pt>
                <c:pt idx="5">
                  <c:v>0.99041931068806777</c:v>
                </c:pt>
                <c:pt idx="6">
                  <c:v>0.96167724275227096</c:v>
                </c:pt>
                <c:pt idx="7">
                  <c:v>0.94593753888266785</c:v>
                </c:pt>
                <c:pt idx="8">
                  <c:v>0.96018414831404775</c:v>
                </c:pt>
                <c:pt idx="9">
                  <c:v>0.93299738708473334</c:v>
                </c:pt>
                <c:pt idx="10">
                  <c:v>0.96979594376010958</c:v>
                </c:pt>
                <c:pt idx="11">
                  <c:v>0.96702749782257069</c:v>
                </c:pt>
                <c:pt idx="12">
                  <c:v>0.98929948985940053</c:v>
                </c:pt>
                <c:pt idx="13">
                  <c:v>0.98127410725395059</c:v>
                </c:pt>
                <c:pt idx="14">
                  <c:v>0.99175687445564287</c:v>
                </c:pt>
                <c:pt idx="15">
                  <c:v>0.99720044792833173</c:v>
                </c:pt>
                <c:pt idx="16">
                  <c:v>1.0013064576334456</c:v>
                </c:pt>
                <c:pt idx="17">
                  <c:v>0.97063580938161043</c:v>
                </c:pt>
                <c:pt idx="18">
                  <c:v>0.9740574841358719</c:v>
                </c:pt>
                <c:pt idx="19">
                  <c:v>0.99107253950479079</c:v>
                </c:pt>
                <c:pt idx="20">
                  <c:v>0.98674878686076939</c:v>
                </c:pt>
                <c:pt idx="21">
                  <c:v>0.97010700510140635</c:v>
                </c:pt>
                <c:pt idx="22">
                  <c:v>0.9684272738584051</c:v>
                </c:pt>
                <c:pt idx="23">
                  <c:v>0.98295383849695184</c:v>
                </c:pt>
                <c:pt idx="24">
                  <c:v>0.982673883289785</c:v>
                </c:pt>
                <c:pt idx="25">
                  <c:v>0.9777280079631705</c:v>
                </c:pt>
                <c:pt idx="26">
                  <c:v>0.99269005847953229</c:v>
                </c:pt>
                <c:pt idx="27">
                  <c:v>1.0096117954460619</c:v>
                </c:pt>
                <c:pt idx="28">
                  <c:v>1.0297685703620754</c:v>
                </c:pt>
                <c:pt idx="29">
                  <c:v>1.0290531292770932</c:v>
                </c:pt>
                <c:pt idx="30">
                  <c:v>1.0315416200074654</c:v>
                </c:pt>
                <c:pt idx="31">
                  <c:v>1.0423043424163245</c:v>
                </c:pt>
                <c:pt idx="32">
                  <c:v>1.0486188876446436</c:v>
                </c:pt>
                <c:pt idx="33">
                  <c:v>1.047250217742939</c:v>
                </c:pt>
                <c:pt idx="34">
                  <c:v>1.0594749284558915</c:v>
                </c:pt>
                <c:pt idx="35">
                  <c:v>1.0467525195968646</c:v>
                </c:pt>
                <c:pt idx="36">
                  <c:v>1.0626166480029864</c:v>
                </c:pt>
                <c:pt idx="37">
                  <c:v>1.0638608933681724</c:v>
                </c:pt>
                <c:pt idx="38">
                  <c:v>1.0541246733855918</c:v>
                </c:pt>
                <c:pt idx="39">
                  <c:v>1.0464414582555681</c:v>
                </c:pt>
                <c:pt idx="40">
                  <c:v>1.0554000248849074</c:v>
                </c:pt>
                <c:pt idx="41">
                  <c:v>1.0426776160258804</c:v>
                </c:pt>
                <c:pt idx="42">
                  <c:v>1.0558044046285928</c:v>
                </c:pt>
                <c:pt idx="43">
                  <c:v>1.0626788602712454</c:v>
                </c:pt>
                <c:pt idx="44">
                  <c:v>1.0580751524200571</c:v>
                </c:pt>
                <c:pt idx="45">
                  <c:v>1.0544979469951474</c:v>
                </c:pt>
                <c:pt idx="46">
                  <c:v>1.058292895358965</c:v>
                </c:pt>
                <c:pt idx="47">
                  <c:v>1.0513562274480528</c:v>
                </c:pt>
                <c:pt idx="48">
                  <c:v>1.0457571233047156</c:v>
                </c:pt>
                <c:pt idx="49">
                  <c:v>1.0269379121562772</c:v>
                </c:pt>
                <c:pt idx="50">
                  <c:v>1.0234851312678859</c:v>
                </c:pt>
                <c:pt idx="51">
                  <c:v>1.0311994525320392</c:v>
                </c:pt>
                <c:pt idx="52">
                  <c:v>1.0395670026129151</c:v>
                </c:pt>
                <c:pt idx="53">
                  <c:v>1.0133134254074903</c:v>
                </c:pt>
                <c:pt idx="54">
                  <c:v>1.0119136493716561</c:v>
                </c:pt>
                <c:pt idx="55">
                  <c:v>0.98572228443449039</c:v>
                </c:pt>
                <c:pt idx="56">
                  <c:v>0.99334328729625476</c:v>
                </c:pt>
                <c:pt idx="57">
                  <c:v>1.0152731118576583</c:v>
                </c:pt>
                <c:pt idx="58">
                  <c:v>1.0091140972999877</c:v>
                </c:pt>
                <c:pt idx="59">
                  <c:v>1.0023018539255943</c:v>
                </c:pt>
                <c:pt idx="60">
                  <c:v>1.0034527808883913</c:v>
                </c:pt>
                <c:pt idx="61">
                  <c:v>1.022863008585293</c:v>
                </c:pt>
                <c:pt idx="62">
                  <c:v>1.0172016921736966</c:v>
                </c:pt>
                <c:pt idx="63">
                  <c:v>1.0343100659450042</c:v>
                </c:pt>
                <c:pt idx="64">
                  <c:v>1.0357409481149682</c:v>
                </c:pt>
                <c:pt idx="65">
                  <c:v>1.0393492596740075</c:v>
                </c:pt>
                <c:pt idx="66">
                  <c:v>1.0354609929078011</c:v>
                </c:pt>
                <c:pt idx="67">
                  <c:v>1.0387271369914144</c:v>
                </c:pt>
                <c:pt idx="68">
                  <c:v>1.0352743561030233</c:v>
                </c:pt>
                <c:pt idx="69">
                  <c:v>1.0372962548214508</c:v>
                </c:pt>
                <c:pt idx="70">
                  <c:v>1.0265024262784621</c:v>
                </c:pt>
                <c:pt idx="71">
                  <c:v>1.0439218613910664</c:v>
                </c:pt>
                <c:pt idx="72">
                  <c:v>1.0470324748040314</c:v>
                </c:pt>
                <c:pt idx="73">
                  <c:v>1.0475301729501056</c:v>
                </c:pt>
                <c:pt idx="74">
                  <c:v>1.0477790220231429</c:v>
                </c:pt>
                <c:pt idx="75">
                  <c:v>1.0586972751026504</c:v>
                </c:pt>
                <c:pt idx="76">
                  <c:v>1.0614657210401894</c:v>
                </c:pt>
                <c:pt idx="77">
                  <c:v>1.0716374269005851</c:v>
                </c:pt>
                <c:pt idx="78">
                  <c:v>1.0646385467214137</c:v>
                </c:pt>
                <c:pt idx="79">
                  <c:v>1.0607502799552073</c:v>
                </c:pt>
                <c:pt idx="80">
                  <c:v>1.0742192360333458</c:v>
                </c:pt>
                <c:pt idx="81">
                  <c:v>1.0657894736842106</c:v>
                </c:pt>
                <c:pt idx="82">
                  <c:v>1.0711708348886402</c:v>
                </c:pt>
                <c:pt idx="83">
                  <c:v>1.081155903944258</c:v>
                </c:pt>
                <c:pt idx="84">
                  <c:v>1.0816847082244621</c:v>
                </c:pt>
                <c:pt idx="85">
                  <c:v>1.0883725270623368</c:v>
                </c:pt>
                <c:pt idx="86">
                  <c:v>1.0870349632947618</c:v>
                </c:pt>
                <c:pt idx="87">
                  <c:v>1.1002550702998632</c:v>
                </c:pt>
                <c:pt idx="88">
                  <c:v>1.1042366554684586</c:v>
                </c:pt>
                <c:pt idx="89">
                  <c:v>1.1024947119571982</c:v>
                </c:pt>
                <c:pt idx="90">
                  <c:v>1.1029301978350132</c:v>
                </c:pt>
                <c:pt idx="91">
                  <c:v>1.1155903944257808</c:v>
                </c:pt>
                <c:pt idx="92">
                  <c:v>1.1204118452158767</c:v>
                </c:pt>
                <c:pt idx="93">
                  <c:v>1.1227759114097302</c:v>
                </c:pt>
                <c:pt idx="94">
                  <c:v>1.1159947741694665</c:v>
                </c:pt>
                <c:pt idx="95">
                  <c:v>1.122962548214508</c:v>
                </c:pt>
                <c:pt idx="96">
                  <c:v>1.1273485131267889</c:v>
                </c:pt>
                <c:pt idx="97">
                  <c:v>1.1273485131267889</c:v>
                </c:pt>
                <c:pt idx="98">
                  <c:v>1.1293704118452161</c:v>
                </c:pt>
                <c:pt idx="99">
                  <c:v>1.1214383476421552</c:v>
                </c:pt>
                <c:pt idx="100">
                  <c:v>1.1123553564762976</c:v>
                </c:pt>
                <c:pt idx="101">
                  <c:v>1.1032412591763099</c:v>
                </c:pt>
                <c:pt idx="102">
                  <c:v>1.1160569864377259</c:v>
                </c:pt>
                <c:pt idx="103">
                  <c:v>1.1246733855916391</c:v>
                </c:pt>
                <c:pt idx="104">
                  <c:v>1.1321077516486255</c:v>
                </c:pt>
                <c:pt idx="105">
                  <c:v>1.1453278586537268</c:v>
                </c:pt>
                <c:pt idx="106">
                  <c:v>1.1462299365434867</c:v>
                </c:pt>
                <c:pt idx="107">
                  <c:v>1.1336008460868487</c:v>
                </c:pt>
                <c:pt idx="108">
                  <c:v>1.1379557048649998</c:v>
                </c:pt>
                <c:pt idx="109">
                  <c:v>1.139977603583427</c:v>
                </c:pt>
                <c:pt idx="110">
                  <c:v>1.1340363319646636</c:v>
                </c:pt>
                <c:pt idx="111">
                  <c:v>1.1341296503670526</c:v>
                </c:pt>
                <c:pt idx="112">
                  <c:v>1.1410041060097054</c:v>
                </c:pt>
                <c:pt idx="113">
                  <c:v>1.1426527311185768</c:v>
                </c:pt>
                <c:pt idx="114">
                  <c:v>1.1499004603707854</c:v>
                </c:pt>
                <c:pt idx="115">
                  <c:v>1.1448612666417821</c:v>
                </c:pt>
                <c:pt idx="116">
                  <c:v>1.1469764837625984</c:v>
                </c:pt>
                <c:pt idx="117">
                  <c:v>1.1410974244120944</c:v>
                </c:pt>
                <c:pt idx="118">
                  <c:v>1.1391377379619263</c:v>
                </c:pt>
                <c:pt idx="119">
                  <c:v>1.1432437476670403</c:v>
                </c:pt>
                <c:pt idx="120">
                  <c:v>1.1472564389697653</c:v>
                </c:pt>
                <c:pt idx="121">
                  <c:v>1.1477541371158397</c:v>
                </c:pt>
                <c:pt idx="122">
                  <c:v>1.1376446435237033</c:v>
                </c:pt>
                <c:pt idx="123">
                  <c:v>1.1266952843100662</c:v>
                </c:pt>
                <c:pt idx="124">
                  <c:v>1.1321388577827551</c:v>
                </c:pt>
                <c:pt idx="125">
                  <c:v>1.1438658703496336</c:v>
                </c:pt>
                <c:pt idx="126">
                  <c:v>1.1609742441209414</c:v>
                </c:pt>
                <c:pt idx="127">
                  <c:v>1.1645203434117215</c:v>
                </c:pt>
                <c:pt idx="128">
                  <c:v>1.1658579071792965</c:v>
                </c:pt>
                <c:pt idx="129">
                  <c:v>1.1584546472564397</c:v>
                </c:pt>
                <c:pt idx="130">
                  <c:v>1.1697150678113732</c:v>
                </c:pt>
                <c:pt idx="131">
                  <c:v>1.1828418564140857</c:v>
                </c:pt>
                <c:pt idx="132">
                  <c:v>1.1818775662560665</c:v>
                </c:pt>
                <c:pt idx="133">
                  <c:v>1.1838372527062346</c:v>
                </c:pt>
                <c:pt idx="134">
                  <c:v>1.183277342291901</c:v>
                </c:pt>
                <c:pt idx="135">
                  <c:v>1.1869167599850701</c:v>
                </c:pt>
                <c:pt idx="136">
                  <c:v>1.1885964912280713</c:v>
                </c:pt>
                <c:pt idx="137">
                  <c:v>1.1844593753888277</c:v>
                </c:pt>
                <c:pt idx="138">
                  <c:v>1.1803844718178438</c:v>
                </c:pt>
                <c:pt idx="139">
                  <c:v>1.1714259051885043</c:v>
                </c:pt>
                <c:pt idx="140">
                  <c:v>1.1706171457011334</c:v>
                </c:pt>
                <c:pt idx="141">
                  <c:v>1.1672887893492609</c:v>
                </c:pt>
                <c:pt idx="142">
                  <c:v>1.1759674007714334</c:v>
                </c:pt>
                <c:pt idx="143">
                  <c:v>1.1767761602588043</c:v>
                </c:pt>
                <c:pt idx="144">
                  <c:v>1.1628406121687209</c:v>
                </c:pt>
                <c:pt idx="145">
                  <c:v>1.1375513251213152</c:v>
                </c:pt>
                <c:pt idx="146">
                  <c:v>1.1389511011571496</c:v>
                </c:pt>
                <c:pt idx="147">
                  <c:v>1.1495893990294901</c:v>
                </c:pt>
                <c:pt idx="148">
                  <c:v>1.160196590767701</c:v>
                </c:pt>
                <c:pt idx="149">
                  <c:v>1.1612853054622387</c:v>
                </c:pt>
                <c:pt idx="150">
                  <c:v>1.1520156774916031</c:v>
                </c:pt>
                <c:pt idx="151">
                  <c:v>1.1194164489237293</c:v>
                </c:pt>
                <c:pt idx="152">
                  <c:v>1.1175811870100798</c:v>
                </c:pt>
                <c:pt idx="153">
                  <c:v>1.113475177304966</c:v>
                </c:pt>
                <c:pt idx="154">
                  <c:v>1.1203807390817484</c:v>
                </c:pt>
                <c:pt idx="155">
                  <c:v>1.0968645016797327</c:v>
                </c:pt>
                <c:pt idx="156">
                  <c:v>1.1116710215254462</c:v>
                </c:pt>
                <c:pt idx="157">
                  <c:v>1.1187943262411362</c:v>
                </c:pt>
                <c:pt idx="158">
                  <c:v>1.1290593505039208</c:v>
                </c:pt>
                <c:pt idx="159">
                  <c:v>1.123429140226454</c:v>
                </c:pt>
                <c:pt idx="160">
                  <c:v>1.1148127410725408</c:v>
                </c:pt>
                <c:pt idx="161">
                  <c:v>1.1109244743063345</c:v>
                </c:pt>
                <c:pt idx="162">
                  <c:v>1.1198208286674145</c:v>
                </c:pt>
                <c:pt idx="163">
                  <c:v>1.1404441955953728</c:v>
                </c:pt>
                <c:pt idx="164">
                  <c:v>1.1476297125793222</c:v>
                </c:pt>
                <c:pt idx="165">
                  <c:v>1.1591700883414224</c:v>
                </c:pt>
                <c:pt idx="166">
                  <c:v>1.1679420181659839</c:v>
                </c:pt>
                <c:pt idx="167">
                  <c:v>1.1664178175936308</c:v>
                </c:pt>
                <c:pt idx="168">
                  <c:v>1.1735411223093206</c:v>
                </c:pt>
                <c:pt idx="169">
                  <c:v>1.1636804777902214</c:v>
                </c:pt>
                <c:pt idx="170">
                  <c:v>1.1755941271618775</c:v>
                </c:pt>
                <c:pt idx="171">
                  <c:v>1.1792957571233058</c:v>
                </c:pt>
                <c:pt idx="172">
                  <c:v>1.1820330969267152</c:v>
                </c:pt>
                <c:pt idx="173">
                  <c:v>1.1951598855294276</c:v>
                </c:pt>
                <c:pt idx="174">
                  <c:v>1.2010389448799317</c:v>
                </c:pt>
                <c:pt idx="175">
                  <c:v>1.2051449545850457</c:v>
                </c:pt>
                <c:pt idx="176">
                  <c:v>1.210184148314049</c:v>
                </c:pt>
                <c:pt idx="177">
                  <c:v>1.2230309817095946</c:v>
                </c:pt>
                <c:pt idx="178">
                  <c:v>1.2387084733109386</c:v>
                </c:pt>
                <c:pt idx="179">
                  <c:v>1.2398905064078654</c:v>
                </c:pt>
                <c:pt idx="180">
                  <c:v>1.2382107751648641</c:v>
                </c:pt>
                <c:pt idx="181">
                  <c:v>1.2296876944133399</c:v>
                </c:pt>
                <c:pt idx="182">
                  <c:v>1.211615030484013</c:v>
                </c:pt>
                <c:pt idx="183">
                  <c:v>1.214974492970015</c:v>
                </c:pt>
                <c:pt idx="184">
                  <c:v>1.2277591140973014</c:v>
                </c:pt>
                <c:pt idx="185">
                  <c:v>1.2274791588901346</c:v>
                </c:pt>
                <c:pt idx="186">
                  <c:v>1.2362199825805664</c:v>
                </c:pt>
                <c:pt idx="187">
                  <c:v>1.2368732113972889</c:v>
                </c:pt>
                <c:pt idx="188">
                  <c:v>1.2496889386587049</c:v>
                </c:pt>
                <c:pt idx="189">
                  <c:v>1.2566567127037467</c:v>
                </c:pt>
                <c:pt idx="190">
                  <c:v>1.2420679357969406</c:v>
                </c:pt>
                <c:pt idx="191">
                  <c:v>1.2364066193853442</c:v>
                </c:pt>
                <c:pt idx="192">
                  <c:v>1.2403882045539394</c:v>
                </c:pt>
                <c:pt idx="193">
                  <c:v>1.2168719671519237</c:v>
                </c:pt>
                <c:pt idx="194">
                  <c:v>1.243281075027997</c:v>
                </c:pt>
                <c:pt idx="195">
                  <c:v>1.2250217742938923</c:v>
                </c:pt>
                <c:pt idx="196">
                  <c:v>1.2041806644270265</c:v>
                </c:pt>
                <c:pt idx="197">
                  <c:v>1.2128592758491989</c:v>
                </c:pt>
                <c:pt idx="198">
                  <c:v>1.191769316909296</c:v>
                </c:pt>
                <c:pt idx="199">
                  <c:v>1.2013189000870985</c:v>
                </c:pt>
                <c:pt idx="200">
                  <c:v>1.237495334079882</c:v>
                </c:pt>
                <c:pt idx="201">
                  <c:v>1.2430322259549598</c:v>
                </c:pt>
                <c:pt idx="202">
                  <c:v>1.2247418190867252</c:v>
                </c:pt>
                <c:pt idx="203">
                  <c:v>1.2380552444942154</c:v>
                </c:pt>
                <c:pt idx="204">
                  <c:v>1.2201692173696665</c:v>
                </c:pt>
                <c:pt idx="205">
                  <c:v>1.2075401269130286</c:v>
                </c:pt>
                <c:pt idx="206">
                  <c:v>1.2350690556177693</c:v>
                </c:pt>
                <c:pt idx="207">
                  <c:v>1.203309692671396</c:v>
                </c:pt>
                <c:pt idx="208">
                  <c:v>1.1973062087843735</c:v>
                </c:pt>
                <c:pt idx="209">
                  <c:v>1.1841794201816611</c:v>
                </c:pt>
                <c:pt idx="210">
                  <c:v>1.2106818464601232</c:v>
                </c:pt>
                <c:pt idx="211">
                  <c:v>1.2254261540375775</c:v>
                </c:pt>
                <c:pt idx="212">
                  <c:v>1.2346646758740836</c:v>
                </c:pt>
                <c:pt idx="213">
                  <c:v>1.2550702998631342</c:v>
                </c:pt>
                <c:pt idx="214">
                  <c:v>1.2492534527808896</c:v>
                </c:pt>
                <c:pt idx="215">
                  <c:v>1.2490668159761118</c:v>
                </c:pt>
                <c:pt idx="216">
                  <c:v>1.2453340798805537</c:v>
                </c:pt>
                <c:pt idx="217">
                  <c:v>1.2375575463481412</c:v>
                </c:pt>
                <c:pt idx="218">
                  <c:v>1.2494711957197973</c:v>
                </c:pt>
                <c:pt idx="219">
                  <c:v>1.2332648998382494</c:v>
                </c:pt>
                <c:pt idx="220">
                  <c:v>1.1953776284683351</c:v>
                </c:pt>
                <c:pt idx="221">
                  <c:v>1.1945377628468343</c:v>
                </c:pt>
                <c:pt idx="222">
                  <c:v>1.1815976110488999</c:v>
                </c:pt>
                <c:pt idx="223">
                  <c:v>1.1823752644021412</c:v>
                </c:pt>
                <c:pt idx="224">
                  <c:v>1.2001368669901715</c:v>
                </c:pt>
                <c:pt idx="225">
                  <c:v>1.2048961055120082</c:v>
                </c:pt>
                <c:pt idx="226">
                  <c:v>1.174754261540377</c:v>
                </c:pt>
                <c:pt idx="227">
                  <c:v>1.1820642030608448</c:v>
                </c:pt>
                <c:pt idx="228">
                  <c:v>1.1526378001741957</c:v>
                </c:pt>
                <c:pt idx="229">
                  <c:v>1.1399776035834279</c:v>
                </c:pt>
                <c:pt idx="230">
                  <c:v>1.1251710837377142</c:v>
                </c:pt>
                <c:pt idx="231">
                  <c:v>1.0939716312056749</c:v>
                </c:pt>
                <c:pt idx="232">
                  <c:v>1.0989797188005488</c:v>
                </c:pt>
                <c:pt idx="233">
                  <c:v>1.0735037949483652</c:v>
                </c:pt>
                <c:pt idx="234">
                  <c:v>1.071824063705364</c:v>
                </c:pt>
                <c:pt idx="235">
                  <c:v>1.0610302351623755</c:v>
                </c:pt>
                <c:pt idx="236">
                  <c:v>1.0943137986811013</c:v>
                </c:pt>
                <c:pt idx="237">
                  <c:v>1.129308199576958</c:v>
                </c:pt>
                <c:pt idx="238">
                  <c:v>1.1369914147069815</c:v>
                </c:pt>
                <c:pt idx="239">
                  <c:v>1.1462299365434878</c:v>
                </c:pt>
                <c:pt idx="240">
                  <c:v>1.0997573721537901</c:v>
                </c:pt>
                <c:pt idx="241">
                  <c:v>1.113630707975614</c:v>
                </c:pt>
                <c:pt idx="242">
                  <c:v>1.1046721413462748</c:v>
                </c:pt>
                <c:pt idx="243">
                  <c:v>1.1170834888640053</c:v>
                </c:pt>
                <c:pt idx="244">
                  <c:v>1.1407552569366692</c:v>
                </c:pt>
                <c:pt idx="245">
                  <c:v>1.1149371656090594</c:v>
                </c:pt>
                <c:pt idx="246">
                  <c:v>1.0795694911036469</c:v>
                </c:pt>
                <c:pt idx="247">
                  <c:v>1.0809070548712216</c:v>
                </c:pt>
                <c:pt idx="248">
                  <c:v>1.1077827547592396</c:v>
                </c:pt>
                <c:pt idx="249">
                  <c:v>1.107502799552073</c:v>
                </c:pt>
                <c:pt idx="250">
                  <c:v>1.0745614035087732</c:v>
                </c:pt>
                <c:pt idx="251">
                  <c:v>1.0623055866616908</c:v>
                </c:pt>
                <c:pt idx="252">
                  <c:v>1.0516361826552207</c:v>
                </c:pt>
                <c:pt idx="253">
                  <c:v>1.0246982704989436</c:v>
                </c:pt>
                <c:pt idx="254">
                  <c:v>1.0591327609804664</c:v>
                </c:pt>
                <c:pt idx="255">
                  <c:v>1.0755567998009217</c:v>
                </c:pt>
                <c:pt idx="256">
                  <c:v>1.0787607316162757</c:v>
                </c:pt>
                <c:pt idx="257">
                  <c:v>1.0622433743934314</c:v>
                </c:pt>
                <c:pt idx="258">
                  <c:v>1.0800671892497213</c:v>
                </c:pt>
                <c:pt idx="259">
                  <c:v>1.0646385467214146</c:v>
                </c:pt>
                <c:pt idx="260">
                  <c:v>1.049209904193108</c:v>
                </c:pt>
                <c:pt idx="261">
                  <c:v>1.0105138733358228</c:v>
                </c:pt>
                <c:pt idx="262">
                  <c:v>1.0058168470822457</c:v>
                </c:pt>
                <c:pt idx="263">
                  <c:v>1.0420243872091588</c:v>
                </c:pt>
                <c:pt idx="264">
                  <c:v>1.0304529053129288</c:v>
                </c:pt>
                <c:pt idx="265">
                  <c:v>1.009082991165859</c:v>
                </c:pt>
                <c:pt idx="266">
                  <c:v>0.98970386960308687</c:v>
                </c:pt>
                <c:pt idx="267">
                  <c:v>1.0207477914644778</c:v>
                </c:pt>
                <c:pt idx="268">
                  <c:v>1.0586039567002623</c:v>
                </c:pt>
                <c:pt idx="269">
                  <c:v>1.0714196839616781</c:v>
                </c:pt>
                <c:pt idx="270">
                  <c:v>1.0933495085230815</c:v>
                </c:pt>
                <c:pt idx="271">
                  <c:v>1.0889635436108007</c:v>
                </c:pt>
                <c:pt idx="272">
                  <c:v>1.1103645638920001</c:v>
                </c:pt>
                <c:pt idx="273">
                  <c:v>1.0944071170834895</c:v>
                </c:pt>
                <c:pt idx="274">
                  <c:v>1.1187321139728759</c:v>
                </c:pt>
                <c:pt idx="275">
                  <c:v>1.1177989299489866</c:v>
                </c:pt>
                <c:pt idx="276">
                  <c:v>1.1350939405250722</c:v>
                </c:pt>
                <c:pt idx="277">
                  <c:v>1.1546285927584927</c:v>
                </c:pt>
                <c:pt idx="278">
                  <c:v>1.1418750777653359</c:v>
                </c:pt>
                <c:pt idx="279">
                  <c:v>1.1277217867363452</c:v>
                </c:pt>
                <c:pt idx="280">
                  <c:v>1.1255754634813993</c:v>
                </c:pt>
                <c:pt idx="281">
                  <c:v>1.1487495334079887</c:v>
                </c:pt>
                <c:pt idx="282">
                  <c:v>1.1232425034216753</c:v>
                </c:pt>
                <c:pt idx="283">
                  <c:v>1.0988552942640293</c:v>
                </c:pt>
                <c:pt idx="284">
                  <c:v>1.1014682095309198</c:v>
                </c:pt>
                <c:pt idx="285">
                  <c:v>1.0860706731367429</c:v>
                </c:pt>
                <c:pt idx="286">
                  <c:v>1.0603770063456517</c:v>
                </c:pt>
                <c:pt idx="287">
                  <c:v>1.0558977230309821</c:v>
                </c:pt>
                <c:pt idx="288">
                  <c:v>1.0773609555804409</c:v>
                </c:pt>
                <c:pt idx="289">
                  <c:v>1.0527248973497578</c:v>
                </c:pt>
                <c:pt idx="290">
                  <c:v>1.0535336568371287</c:v>
                </c:pt>
                <c:pt idx="291">
                  <c:v>1.077081000373274</c:v>
                </c:pt>
                <c:pt idx="292">
                  <c:v>1.0613724026378006</c:v>
                </c:pt>
                <c:pt idx="293">
                  <c:v>1.0394114719422676</c:v>
                </c:pt>
                <c:pt idx="294">
                  <c:v>1.0121936045788236</c:v>
                </c:pt>
                <c:pt idx="295">
                  <c:v>1.0251959686450174</c:v>
                </c:pt>
                <c:pt idx="296">
                  <c:v>0.98649993778773226</c:v>
                </c:pt>
                <c:pt idx="297">
                  <c:v>0.98531790469080549</c:v>
                </c:pt>
                <c:pt idx="298">
                  <c:v>1.0203123055866621</c:v>
                </c:pt>
                <c:pt idx="299">
                  <c:v>0.97439965161129816</c:v>
                </c:pt>
                <c:pt idx="300">
                  <c:v>0.99066815976110545</c:v>
                </c:pt>
                <c:pt idx="301">
                  <c:v>0.99172576832151349</c:v>
                </c:pt>
                <c:pt idx="302">
                  <c:v>1.0252581809132768</c:v>
                </c:pt>
                <c:pt idx="303">
                  <c:v>0.97362199825805706</c:v>
                </c:pt>
                <c:pt idx="304">
                  <c:v>0.96195719795943824</c:v>
                </c:pt>
                <c:pt idx="305">
                  <c:v>0.92431877566256115</c:v>
                </c:pt>
                <c:pt idx="306">
                  <c:v>0.93554809008336492</c:v>
                </c:pt>
                <c:pt idx="307">
                  <c:v>0.90780141843971673</c:v>
                </c:pt>
                <c:pt idx="308">
                  <c:v>0.90565509518477083</c:v>
                </c:pt>
                <c:pt idx="309">
                  <c:v>0.93921861391066375</c:v>
                </c:pt>
                <c:pt idx="310">
                  <c:v>0.92833146696528612</c:v>
                </c:pt>
                <c:pt idx="311">
                  <c:v>0.95237650864750589</c:v>
                </c:pt>
                <c:pt idx="312">
                  <c:v>0.90562398905064134</c:v>
                </c:pt>
                <c:pt idx="313">
                  <c:v>0.90077143212641586</c:v>
                </c:pt>
                <c:pt idx="314">
                  <c:v>0.89797188005474748</c:v>
                </c:pt>
                <c:pt idx="315">
                  <c:v>0.91290282443697957</c:v>
                </c:pt>
                <c:pt idx="316">
                  <c:v>0.89349259674007775</c:v>
                </c:pt>
                <c:pt idx="317">
                  <c:v>0.90599726266019709</c:v>
                </c:pt>
                <c:pt idx="318">
                  <c:v>0.93109991290282501</c:v>
                </c:pt>
                <c:pt idx="319">
                  <c:v>0.96149060594749358</c:v>
                </c:pt>
                <c:pt idx="320">
                  <c:v>0.95893990294886211</c:v>
                </c:pt>
                <c:pt idx="321">
                  <c:v>0.95184770436730182</c:v>
                </c:pt>
                <c:pt idx="322">
                  <c:v>0.97791464476794887</c:v>
                </c:pt>
                <c:pt idx="323">
                  <c:v>0.9524698270498948</c:v>
                </c:pt>
                <c:pt idx="324">
                  <c:v>0.95564265273111926</c:v>
                </c:pt>
                <c:pt idx="325">
                  <c:v>0.96388577827547661</c:v>
                </c:pt>
                <c:pt idx="326">
                  <c:v>0.95694911036456443</c:v>
                </c:pt>
                <c:pt idx="327">
                  <c:v>0.93131765584173254</c:v>
                </c:pt>
                <c:pt idx="328">
                  <c:v>0.89846957820082174</c:v>
                </c:pt>
                <c:pt idx="329">
                  <c:v>0.8566940400647014</c:v>
                </c:pt>
                <c:pt idx="330">
                  <c:v>0.85824934677118392</c:v>
                </c:pt>
                <c:pt idx="331">
                  <c:v>0.87968147318651291</c:v>
                </c:pt>
                <c:pt idx="332">
                  <c:v>0.84418937414458184</c:v>
                </c:pt>
                <c:pt idx="333">
                  <c:v>0.85445439840736648</c:v>
                </c:pt>
                <c:pt idx="334">
                  <c:v>0.87433121811621306</c:v>
                </c:pt>
                <c:pt idx="335">
                  <c:v>0.87305586661689749</c:v>
                </c:pt>
                <c:pt idx="336">
                  <c:v>0.88605823068309142</c:v>
                </c:pt>
                <c:pt idx="337">
                  <c:v>0.91641781759363017</c:v>
                </c:pt>
                <c:pt idx="338">
                  <c:v>0.90969889262162562</c:v>
                </c:pt>
                <c:pt idx="339">
                  <c:v>0.88198332711210725</c:v>
                </c:pt>
                <c:pt idx="340">
                  <c:v>0.88279208659947805</c:v>
                </c:pt>
                <c:pt idx="341">
                  <c:v>0.87184272738584101</c:v>
                </c:pt>
                <c:pt idx="342">
                  <c:v>0.87759736219982643</c:v>
                </c:pt>
                <c:pt idx="343">
                  <c:v>0.89262162498444753</c:v>
                </c:pt>
                <c:pt idx="344">
                  <c:v>0.89834515366430334</c:v>
                </c:pt>
                <c:pt idx="345">
                  <c:v>0.91756874455642723</c:v>
                </c:pt>
                <c:pt idx="346">
                  <c:v>0.91871967151922429</c:v>
                </c:pt>
                <c:pt idx="347">
                  <c:v>0.89909170088341495</c:v>
                </c:pt>
                <c:pt idx="348">
                  <c:v>0.89038198332711282</c:v>
                </c:pt>
                <c:pt idx="349">
                  <c:v>0.88854672141346336</c:v>
                </c:pt>
                <c:pt idx="350">
                  <c:v>0.8917195470946877</c:v>
                </c:pt>
                <c:pt idx="351">
                  <c:v>0.90789473684210587</c:v>
                </c:pt>
                <c:pt idx="352">
                  <c:v>0.90021152171208219</c:v>
                </c:pt>
                <c:pt idx="353">
                  <c:v>0.92789598108747107</c:v>
                </c:pt>
                <c:pt idx="354">
                  <c:v>0.94260918253079562</c:v>
                </c:pt>
                <c:pt idx="355">
                  <c:v>0.95614035087719362</c:v>
                </c:pt>
                <c:pt idx="356">
                  <c:v>0.93937414458131208</c:v>
                </c:pt>
                <c:pt idx="357">
                  <c:v>0.93402388951101212</c:v>
                </c:pt>
                <c:pt idx="358">
                  <c:v>0.91567127037451845</c:v>
                </c:pt>
                <c:pt idx="359">
                  <c:v>0.95436730123180347</c:v>
                </c:pt>
                <c:pt idx="360">
                  <c:v>0.96369914147069857</c:v>
                </c:pt>
                <c:pt idx="361">
                  <c:v>0.98127410725395092</c:v>
                </c:pt>
                <c:pt idx="362">
                  <c:v>0.98068309070548754</c:v>
                </c:pt>
                <c:pt idx="363">
                  <c:v>0.97775911409730032</c:v>
                </c:pt>
                <c:pt idx="364">
                  <c:v>1.004385964912281</c:v>
                </c:pt>
                <c:pt idx="365">
                  <c:v>1.0090829911658583</c:v>
                </c:pt>
                <c:pt idx="366">
                  <c:v>1.0008398656215012</c:v>
                </c:pt>
                <c:pt idx="367">
                  <c:v>0.99760482767201752</c:v>
                </c:pt>
                <c:pt idx="368">
                  <c:v>0.98631330098295455</c:v>
                </c:pt>
                <c:pt idx="369">
                  <c:v>1.0138422296876952</c:v>
                </c:pt>
                <c:pt idx="370">
                  <c:v>1.0080875948737098</c:v>
                </c:pt>
                <c:pt idx="371">
                  <c:v>1.0277155655095194</c:v>
                </c:pt>
                <c:pt idx="372">
                  <c:v>1.0360209033221361</c:v>
                </c:pt>
                <c:pt idx="373">
                  <c:v>1.0335946248600234</c:v>
                </c:pt>
                <c:pt idx="374">
                  <c:v>1.021805400024886</c:v>
                </c:pt>
                <c:pt idx="375">
                  <c:v>1.0242627846211283</c:v>
                </c:pt>
                <c:pt idx="376">
                  <c:v>1.0042926465098929</c:v>
                </c:pt>
                <c:pt idx="377">
                  <c:v>0.97785243249969012</c:v>
                </c:pt>
                <c:pt idx="378">
                  <c:v>0.9770436730123192</c:v>
                </c:pt>
                <c:pt idx="379">
                  <c:v>0.97987433121811718</c:v>
                </c:pt>
                <c:pt idx="380">
                  <c:v>0.9972004479283324</c:v>
                </c:pt>
                <c:pt idx="381">
                  <c:v>0.95632698768197177</c:v>
                </c:pt>
                <c:pt idx="382">
                  <c:v>0.94690182904068787</c:v>
                </c:pt>
                <c:pt idx="383">
                  <c:v>0.93635684957073617</c:v>
                </c:pt>
                <c:pt idx="384">
                  <c:v>0.93091327609804742</c:v>
                </c:pt>
                <c:pt idx="385">
                  <c:v>0.93131765584173298</c:v>
                </c:pt>
                <c:pt idx="386">
                  <c:v>0.91815976110489095</c:v>
                </c:pt>
                <c:pt idx="387">
                  <c:v>0.91156526066940502</c:v>
                </c:pt>
                <c:pt idx="388">
                  <c:v>0.92998009207415822</c:v>
                </c:pt>
                <c:pt idx="389">
                  <c:v>0.93480154286425399</c:v>
                </c:pt>
                <c:pt idx="390">
                  <c:v>0.95523827298743436</c:v>
                </c:pt>
                <c:pt idx="391">
                  <c:v>0.96659201194475697</c:v>
                </c:pt>
                <c:pt idx="392">
                  <c:v>0.91358715938783253</c:v>
                </c:pt>
                <c:pt idx="393">
                  <c:v>0.92083488864004104</c:v>
                </c:pt>
                <c:pt idx="394">
                  <c:v>0.90549956451412361</c:v>
                </c:pt>
                <c:pt idx="395">
                  <c:v>0.89996267263904572</c:v>
                </c:pt>
                <c:pt idx="396">
                  <c:v>0.90534403384347539</c:v>
                </c:pt>
                <c:pt idx="397">
                  <c:v>0.89812741072539659</c:v>
                </c:pt>
                <c:pt idx="398">
                  <c:v>0.88204553938036723</c:v>
                </c:pt>
                <c:pt idx="399">
                  <c:v>0.8711894985691192</c:v>
                </c:pt>
                <c:pt idx="400">
                  <c:v>0.85700510140599861</c:v>
                </c:pt>
                <c:pt idx="401">
                  <c:v>0.85345900211521852</c:v>
                </c:pt>
                <c:pt idx="402">
                  <c:v>0.85380116959064467</c:v>
                </c:pt>
                <c:pt idx="403">
                  <c:v>0.87078511882543386</c:v>
                </c:pt>
                <c:pt idx="404">
                  <c:v>0.84568246858280594</c:v>
                </c:pt>
                <c:pt idx="405">
                  <c:v>0.83134254074903702</c:v>
                </c:pt>
                <c:pt idx="406">
                  <c:v>0.85084608684832774</c:v>
                </c:pt>
                <c:pt idx="407">
                  <c:v>0.87759736219982709</c:v>
                </c:pt>
                <c:pt idx="408">
                  <c:v>0.87713077018788232</c:v>
                </c:pt>
                <c:pt idx="409">
                  <c:v>0.87022520841109985</c:v>
                </c:pt>
                <c:pt idx="410">
                  <c:v>0.83706606942889261</c:v>
                </c:pt>
                <c:pt idx="411">
                  <c:v>0.82869851934801664</c:v>
                </c:pt>
                <c:pt idx="412">
                  <c:v>0.81731367425656454</c:v>
                </c:pt>
                <c:pt idx="413">
                  <c:v>0.8170337190493977</c:v>
                </c:pt>
                <c:pt idx="414">
                  <c:v>0.83619509767326217</c:v>
                </c:pt>
                <c:pt idx="415">
                  <c:v>0.81106134129650465</c:v>
                </c:pt>
                <c:pt idx="416">
                  <c:v>0.8378437227821337</c:v>
                </c:pt>
                <c:pt idx="417">
                  <c:v>0.84446932935174912</c:v>
                </c:pt>
                <c:pt idx="418">
                  <c:v>0.8413898220729138</c:v>
                </c:pt>
                <c:pt idx="419">
                  <c:v>0.83709717556302199</c:v>
                </c:pt>
                <c:pt idx="420">
                  <c:v>0.85672514619883133</c:v>
                </c:pt>
                <c:pt idx="421">
                  <c:v>0.86615030484011524</c:v>
                </c:pt>
                <c:pt idx="422">
                  <c:v>0.88406743809879385</c:v>
                </c:pt>
                <c:pt idx="423">
                  <c:v>0.86453278586537341</c:v>
                </c:pt>
                <c:pt idx="424">
                  <c:v>0.8487930819957703</c:v>
                </c:pt>
                <c:pt idx="425">
                  <c:v>0.87476670399402834</c:v>
                </c:pt>
                <c:pt idx="426">
                  <c:v>0.8645949981336325</c:v>
                </c:pt>
                <c:pt idx="427">
                  <c:v>0.85576085604081187</c:v>
                </c:pt>
                <c:pt idx="428">
                  <c:v>0.82642777155655156</c:v>
                </c:pt>
                <c:pt idx="429">
                  <c:v>0.810283687943263</c:v>
                </c:pt>
                <c:pt idx="430">
                  <c:v>0.82331715814358641</c:v>
                </c:pt>
                <c:pt idx="431">
                  <c:v>0.83236904317531457</c:v>
                </c:pt>
                <c:pt idx="432">
                  <c:v>0.83843473933059653</c:v>
                </c:pt>
                <c:pt idx="433">
                  <c:v>0.81908672390195392</c:v>
                </c:pt>
                <c:pt idx="434">
                  <c:v>0.87952594251586458</c:v>
                </c:pt>
                <c:pt idx="435">
                  <c:v>0.89573223839741234</c:v>
                </c:pt>
                <c:pt idx="436">
                  <c:v>0.88789349259674055</c:v>
                </c:pt>
                <c:pt idx="437">
                  <c:v>0.90018041557795236</c:v>
                </c:pt>
                <c:pt idx="438">
                  <c:v>0.88789349259674055</c:v>
                </c:pt>
                <c:pt idx="439">
                  <c:v>0.88593380614657258</c:v>
                </c:pt>
                <c:pt idx="440">
                  <c:v>0.88596491228070218</c:v>
                </c:pt>
                <c:pt idx="441">
                  <c:v>0.8768508149807146</c:v>
                </c:pt>
                <c:pt idx="442">
                  <c:v>0.88947990543735256</c:v>
                </c:pt>
                <c:pt idx="443">
                  <c:v>0.89840736593256221</c:v>
                </c:pt>
                <c:pt idx="444">
                  <c:v>0.89249720044792868</c:v>
                </c:pt>
                <c:pt idx="445">
                  <c:v>0.87940151797934574</c:v>
                </c:pt>
                <c:pt idx="446">
                  <c:v>0.87274480527560061</c:v>
                </c:pt>
                <c:pt idx="447">
                  <c:v>0.91252955082742349</c:v>
                </c:pt>
                <c:pt idx="448">
                  <c:v>0.91364937165609084</c:v>
                </c:pt>
                <c:pt idx="449">
                  <c:v>0.91000995396292172</c:v>
                </c:pt>
                <c:pt idx="450">
                  <c:v>0.89473684210526327</c:v>
                </c:pt>
                <c:pt idx="451">
                  <c:v>0.87619758616399179</c:v>
                </c:pt>
                <c:pt idx="452">
                  <c:v>0.87262038073908188</c:v>
                </c:pt>
                <c:pt idx="453">
                  <c:v>0.88294761727012605</c:v>
                </c:pt>
                <c:pt idx="454">
                  <c:v>0.87731740699265925</c:v>
                </c:pt>
                <c:pt idx="455">
                  <c:v>0.88832897847455539</c:v>
                </c:pt>
                <c:pt idx="456">
                  <c:v>0.89787856165235813</c:v>
                </c:pt>
                <c:pt idx="457">
                  <c:v>0.891221848948613</c:v>
                </c:pt>
                <c:pt idx="458">
                  <c:v>0.86129774791588931</c:v>
                </c:pt>
                <c:pt idx="459">
                  <c:v>0.85308572850566167</c:v>
                </c:pt>
                <c:pt idx="460">
                  <c:v>0.83908796814731901</c:v>
                </c:pt>
                <c:pt idx="461">
                  <c:v>0.83843473933059642</c:v>
                </c:pt>
                <c:pt idx="462">
                  <c:v>0.85059723777528973</c:v>
                </c:pt>
                <c:pt idx="463">
                  <c:v>0.82978723404255361</c:v>
                </c:pt>
                <c:pt idx="464">
                  <c:v>0.83165360209033279</c:v>
                </c:pt>
                <c:pt idx="465">
                  <c:v>0.81989548338932483</c:v>
                </c:pt>
                <c:pt idx="466">
                  <c:v>0.80907054871220663</c:v>
                </c:pt>
                <c:pt idx="467">
                  <c:v>0.82879183775040499</c:v>
                </c:pt>
                <c:pt idx="468">
                  <c:v>0.82829413960433051</c:v>
                </c:pt>
                <c:pt idx="469">
                  <c:v>0.82269503546099365</c:v>
                </c:pt>
                <c:pt idx="470">
                  <c:v>0.8266144083613296</c:v>
                </c:pt>
                <c:pt idx="471">
                  <c:v>0.81367425656339498</c:v>
                </c:pt>
                <c:pt idx="472">
                  <c:v>0.83613288540500263</c:v>
                </c:pt>
                <c:pt idx="473">
                  <c:v>0.84154535274356179</c:v>
                </c:pt>
                <c:pt idx="474">
                  <c:v>0.84866865745925169</c:v>
                </c:pt>
                <c:pt idx="475">
                  <c:v>0.86335075276844675</c:v>
                </c:pt>
                <c:pt idx="476">
                  <c:v>0.86801667288789441</c:v>
                </c:pt>
                <c:pt idx="477">
                  <c:v>0.87398905064078725</c:v>
                </c:pt>
                <c:pt idx="478">
                  <c:v>0.87576210028617718</c:v>
                </c:pt>
                <c:pt idx="479">
                  <c:v>0.86437725519472508</c:v>
                </c:pt>
                <c:pt idx="480">
                  <c:v>0.85588528057733049</c:v>
                </c:pt>
                <c:pt idx="481">
                  <c:v>0.87930819957695727</c:v>
                </c:pt>
                <c:pt idx="482">
                  <c:v>0.8988428518103776</c:v>
                </c:pt>
                <c:pt idx="483">
                  <c:v>0.89700758989672835</c:v>
                </c:pt>
                <c:pt idx="484">
                  <c:v>0.89501679731243078</c:v>
                </c:pt>
                <c:pt idx="485">
                  <c:v>0.91246733855916451</c:v>
                </c:pt>
                <c:pt idx="486">
                  <c:v>0.92155032972502249</c:v>
                </c:pt>
                <c:pt idx="487">
                  <c:v>0.90291775538136188</c:v>
                </c:pt>
                <c:pt idx="488">
                  <c:v>0.91644892372775977</c:v>
                </c:pt>
                <c:pt idx="489">
                  <c:v>0.93604578822943951</c:v>
                </c:pt>
                <c:pt idx="490">
                  <c:v>0.96964041308946192</c:v>
                </c:pt>
                <c:pt idx="491">
                  <c:v>0.95240761478163549</c:v>
                </c:pt>
                <c:pt idx="492">
                  <c:v>0.94435112604205595</c:v>
                </c:pt>
                <c:pt idx="493">
                  <c:v>0.96391688440960621</c:v>
                </c:pt>
                <c:pt idx="494">
                  <c:v>0.94677740450416881</c:v>
                </c:pt>
                <c:pt idx="495">
                  <c:v>0.93840985442329283</c:v>
                </c:pt>
                <c:pt idx="496">
                  <c:v>0.93225083986562196</c:v>
                </c:pt>
                <c:pt idx="497">
                  <c:v>0.94718178424785426</c:v>
                </c:pt>
                <c:pt idx="498">
                  <c:v>0.95418066442702554</c:v>
                </c:pt>
                <c:pt idx="499">
                  <c:v>0.96149060594749358</c:v>
                </c:pt>
                <c:pt idx="500">
                  <c:v>0.94344904815229635</c:v>
                </c:pt>
                <c:pt idx="501">
                  <c:v>0.93679233544855123</c:v>
                </c:pt>
                <c:pt idx="502">
                  <c:v>0.91461366181411041</c:v>
                </c:pt>
                <c:pt idx="503">
                  <c:v>0.91529799676496271</c:v>
                </c:pt>
                <c:pt idx="504">
                  <c:v>0.92329227323628282</c:v>
                </c:pt>
                <c:pt idx="505">
                  <c:v>0.90783252457384667</c:v>
                </c:pt>
                <c:pt idx="506">
                  <c:v>0.91433370660694357</c:v>
                </c:pt>
                <c:pt idx="507">
                  <c:v>0.9131516735100168</c:v>
                </c:pt>
                <c:pt idx="508">
                  <c:v>0.90581062585541927</c:v>
                </c:pt>
                <c:pt idx="509">
                  <c:v>0.91330720418066513</c:v>
                </c:pt>
                <c:pt idx="510">
                  <c:v>0.93218862759736287</c:v>
                </c:pt>
                <c:pt idx="511">
                  <c:v>0.93324623615777091</c:v>
                </c:pt>
                <c:pt idx="512">
                  <c:v>0.92179917879805962</c:v>
                </c:pt>
                <c:pt idx="513">
                  <c:v>0.92640288664924797</c:v>
                </c:pt>
                <c:pt idx="514">
                  <c:v>0.91035212143834854</c:v>
                </c:pt>
                <c:pt idx="515">
                  <c:v>0.89756750031106225</c:v>
                </c:pt>
                <c:pt idx="516">
                  <c:v>0.90422421301480738</c:v>
                </c:pt>
                <c:pt idx="517">
                  <c:v>0.92500311061341389</c:v>
                </c:pt>
                <c:pt idx="518">
                  <c:v>0.92985566753763949</c:v>
                </c:pt>
                <c:pt idx="519">
                  <c:v>0.95436730123180391</c:v>
                </c:pt>
                <c:pt idx="520">
                  <c:v>0.94985691178300458</c:v>
                </c:pt>
                <c:pt idx="521">
                  <c:v>0.95175438596491324</c:v>
                </c:pt>
                <c:pt idx="522">
                  <c:v>0.96534776657957022</c:v>
                </c:pt>
                <c:pt idx="523">
                  <c:v>0.9522209779768579</c:v>
                </c:pt>
                <c:pt idx="524">
                  <c:v>0.96351250466592098</c:v>
                </c:pt>
                <c:pt idx="525">
                  <c:v>0.96705860395670096</c:v>
                </c:pt>
                <c:pt idx="526">
                  <c:v>0.96043299738708543</c:v>
                </c:pt>
                <c:pt idx="527">
                  <c:v>0.95533159138982282</c:v>
                </c:pt>
                <c:pt idx="528">
                  <c:v>0.97275102650242717</c:v>
                </c:pt>
                <c:pt idx="529">
                  <c:v>0.98195844220480355</c:v>
                </c:pt>
                <c:pt idx="530">
                  <c:v>0.99828916262286993</c:v>
                </c:pt>
                <c:pt idx="531">
                  <c:v>0.99586288416075708</c:v>
                </c:pt>
                <c:pt idx="532">
                  <c:v>0.99250342167475492</c:v>
                </c:pt>
                <c:pt idx="533">
                  <c:v>0.98270498942391504</c:v>
                </c:pt>
                <c:pt idx="534">
                  <c:v>0.98933059599353068</c:v>
                </c:pt>
                <c:pt idx="535">
                  <c:v>0.9887706855791969</c:v>
                </c:pt>
                <c:pt idx="536">
                  <c:v>0.98242503421674821</c:v>
                </c:pt>
                <c:pt idx="537">
                  <c:v>0.97374642279457579</c:v>
                </c:pt>
                <c:pt idx="538">
                  <c:v>0.99281448301605135</c:v>
                </c:pt>
                <c:pt idx="539">
                  <c:v>0.99094811496827229</c:v>
                </c:pt>
                <c:pt idx="540">
                  <c:v>0.99178798058977291</c:v>
                </c:pt>
                <c:pt idx="541">
                  <c:v>0.99185019285803244</c:v>
                </c:pt>
                <c:pt idx="542">
                  <c:v>0.99138360084608756</c:v>
                </c:pt>
                <c:pt idx="543">
                  <c:v>0.9838248102525825</c:v>
                </c:pt>
                <c:pt idx="544">
                  <c:v>0.98485131267886106</c:v>
                </c:pt>
                <c:pt idx="545">
                  <c:v>0.98279830782630406</c:v>
                </c:pt>
                <c:pt idx="546">
                  <c:v>0.96425905188503258</c:v>
                </c:pt>
                <c:pt idx="547">
                  <c:v>0.97010700510140679</c:v>
                </c:pt>
                <c:pt idx="548">
                  <c:v>0.99648500684335028</c:v>
                </c:pt>
                <c:pt idx="549">
                  <c:v>1.0033594624860032</c:v>
                </c:pt>
                <c:pt idx="550">
                  <c:v>1.0022085355232062</c:v>
                </c:pt>
                <c:pt idx="551">
                  <c:v>0.99346771183277449</c:v>
                </c:pt>
                <c:pt idx="552">
                  <c:v>0.98696652979967769</c:v>
                </c:pt>
                <c:pt idx="553">
                  <c:v>0.9834826427771568</c:v>
                </c:pt>
                <c:pt idx="554">
                  <c:v>1.0043859649122819</c:v>
                </c:pt>
                <c:pt idx="555">
                  <c:v>1.0068744556426541</c:v>
                </c:pt>
                <c:pt idx="556">
                  <c:v>1.0004976981460756</c:v>
                </c:pt>
                <c:pt idx="557">
                  <c:v>1.0113848450914533</c:v>
                </c:pt>
                <c:pt idx="558">
                  <c:v>1.0146820953091962</c:v>
                </c:pt>
                <c:pt idx="559">
                  <c:v>1.0110426776160271</c:v>
                </c:pt>
                <c:pt idx="560">
                  <c:v>1.0165173572228456</c:v>
                </c:pt>
                <c:pt idx="561">
                  <c:v>1.0176682841856428</c:v>
                </c:pt>
                <c:pt idx="562">
                  <c:v>1.0299863133009841</c:v>
                </c:pt>
                <c:pt idx="563">
                  <c:v>1.049116585790719</c:v>
                </c:pt>
                <c:pt idx="564">
                  <c:v>1.0467525195968657</c:v>
                </c:pt>
                <c:pt idx="565">
                  <c:v>1.0502675127535162</c:v>
                </c:pt>
                <c:pt idx="566">
                  <c:v>1.0369540873460259</c:v>
                </c:pt>
                <c:pt idx="567">
                  <c:v>1.0316349384098555</c:v>
                </c:pt>
                <c:pt idx="568">
                  <c:v>1.0567375886524835</c:v>
                </c:pt>
                <c:pt idx="569">
                  <c:v>1.0837377130770198</c:v>
                </c:pt>
                <c:pt idx="570">
                  <c:v>1.0886524822695047</c:v>
                </c:pt>
                <c:pt idx="571">
                  <c:v>1.0824623615777043</c:v>
                </c:pt>
                <c:pt idx="572">
                  <c:v>1.0949670274978236</c:v>
                </c:pt>
                <c:pt idx="573">
                  <c:v>1.1031790469080511</c:v>
                </c:pt>
                <c:pt idx="574">
                  <c:v>1.1039567002612922</c:v>
                </c:pt>
                <c:pt idx="575">
                  <c:v>1.1037700634565142</c:v>
                </c:pt>
                <c:pt idx="576">
                  <c:v>1.0850441707104648</c:v>
                </c:pt>
                <c:pt idx="577">
                  <c:v>1.0985131267886032</c:v>
                </c:pt>
                <c:pt idx="578">
                  <c:v>1.102712454896106</c:v>
                </c:pt>
                <c:pt idx="579">
                  <c:v>1.1213450292397666</c:v>
                </c:pt>
                <c:pt idx="580">
                  <c:v>1.1299614283936796</c:v>
                </c:pt>
                <c:pt idx="581">
                  <c:v>1.1381734478039072</c:v>
                </c:pt>
                <c:pt idx="582">
                  <c:v>1.1517357222844347</c:v>
                </c:pt>
                <c:pt idx="583">
                  <c:v>1.1444879930322263</c:v>
                </c:pt>
                <c:pt idx="584">
                  <c:v>1.1412840612168722</c:v>
                </c:pt>
                <c:pt idx="585">
                  <c:v>1.125730994152047</c:v>
                </c:pt>
                <c:pt idx="586">
                  <c:v>1.1390133134254079</c:v>
                </c:pt>
                <c:pt idx="587">
                  <c:v>1.1277217867363449</c:v>
                </c:pt>
                <c:pt idx="588">
                  <c:v>1.1126042055493348</c:v>
                </c:pt>
                <c:pt idx="589">
                  <c:v>1.1317344780390697</c:v>
                </c:pt>
                <c:pt idx="590">
                  <c:v>1.133943013562275</c:v>
                </c:pt>
                <c:pt idx="591">
                  <c:v>1.1316722657708105</c:v>
                </c:pt>
                <c:pt idx="592">
                  <c:v>1.1491228070175443</c:v>
                </c:pt>
                <c:pt idx="593">
                  <c:v>1.1518290406868239</c:v>
                </c:pt>
                <c:pt idx="594">
                  <c:v>1.1517979345526941</c:v>
                </c:pt>
                <c:pt idx="595">
                  <c:v>1.1430260047281326</c:v>
                </c:pt>
                <c:pt idx="596">
                  <c:v>1.1392310563643153</c:v>
                </c:pt>
                <c:pt idx="597">
                  <c:v>1.1396043299738712</c:v>
                </c:pt>
                <c:pt idx="598">
                  <c:v>1.1452345402513378</c:v>
                </c:pt>
                <c:pt idx="599">
                  <c:v>1.1596988926216252</c:v>
                </c:pt>
                <c:pt idx="600">
                  <c:v>1.1793890755256939</c:v>
                </c:pt>
                <c:pt idx="601">
                  <c:v>1.1791402264526569</c:v>
                </c:pt>
                <c:pt idx="602">
                  <c:v>1.1901517979345533</c:v>
                </c:pt>
                <c:pt idx="603">
                  <c:v>1.1998880179171336</c:v>
                </c:pt>
                <c:pt idx="604">
                  <c:v>1.1996080627099666</c:v>
                </c:pt>
                <c:pt idx="605">
                  <c:v>1.1719547094687075</c:v>
                </c:pt>
                <c:pt idx="606">
                  <c:v>1.168439716312057</c:v>
                </c:pt>
                <c:pt idx="607">
                  <c:v>1.1703060843598361</c:v>
                </c:pt>
                <c:pt idx="608">
                  <c:v>1.1782381485628965</c:v>
                </c:pt>
                <c:pt idx="609">
                  <c:v>1.1743187756625606</c:v>
                </c:pt>
                <c:pt idx="610">
                  <c:v>1.171519223590892</c:v>
                </c:pt>
                <c:pt idx="611">
                  <c:v>1.1928580316038322</c:v>
                </c:pt>
                <c:pt idx="612">
                  <c:v>1.1934801542864253</c:v>
                </c:pt>
                <c:pt idx="613">
                  <c:v>1.1907117083488865</c:v>
                </c:pt>
                <c:pt idx="614">
                  <c:v>1.16458255567998</c:v>
                </c:pt>
                <c:pt idx="615">
                  <c:v>1.1627161876322012</c:v>
                </c:pt>
                <c:pt idx="616">
                  <c:v>1.1572726141595124</c:v>
                </c:pt>
                <c:pt idx="617">
                  <c:v>1.1670710464103524</c:v>
                </c:pt>
                <c:pt idx="618">
                  <c:v>1.157148189622994</c:v>
                </c:pt>
                <c:pt idx="619">
                  <c:v>1.1444257807639673</c:v>
                </c:pt>
                <c:pt idx="620">
                  <c:v>1.1465409978847834</c:v>
                </c:pt>
                <c:pt idx="621">
                  <c:v>1.1392310563643158</c:v>
                </c:pt>
                <c:pt idx="622">
                  <c:v>1.1520156774916022</c:v>
                </c:pt>
                <c:pt idx="623">
                  <c:v>1.1397909667786497</c:v>
                </c:pt>
                <c:pt idx="624">
                  <c:v>1.1277217867363454</c:v>
                </c:pt>
                <c:pt idx="625">
                  <c:v>1.1154037576210036</c:v>
                </c:pt>
                <c:pt idx="626">
                  <c:v>1.1140039815851694</c:v>
                </c:pt>
                <c:pt idx="627">
                  <c:v>1.1319522209779775</c:v>
                </c:pt>
                <c:pt idx="628">
                  <c:v>1.1303347020032357</c:v>
                </c:pt>
                <c:pt idx="629">
                  <c:v>1.1481585168595256</c:v>
                </c:pt>
                <c:pt idx="630">
                  <c:v>1.1236157770312316</c:v>
                </c:pt>
                <c:pt idx="631">
                  <c:v>1.1323254945875334</c:v>
                </c:pt>
                <c:pt idx="632">
                  <c:v>1.1408485753390578</c:v>
                </c:pt>
                <c:pt idx="633">
                  <c:v>1.1657645887769077</c:v>
                </c:pt>
                <c:pt idx="634">
                  <c:v>1.1722657708100046</c:v>
                </c:pt>
                <c:pt idx="635">
                  <c:v>1.1757807639666551</c:v>
                </c:pt>
                <c:pt idx="636">
                  <c:v>1.1745365186014689</c:v>
                </c:pt>
                <c:pt idx="637">
                  <c:v>1.1760296130396921</c:v>
                </c:pt>
                <c:pt idx="638">
                  <c:v>1.1656712703745187</c:v>
                </c:pt>
                <c:pt idx="639">
                  <c:v>1.1573348264277723</c:v>
                </c:pt>
                <c:pt idx="640">
                  <c:v>1.1589523454025139</c:v>
                </c:pt>
                <c:pt idx="641">
                  <c:v>1.1726079382854304</c:v>
                </c:pt>
                <c:pt idx="642">
                  <c:v>1.1596055742192366</c:v>
                </c:pt>
                <c:pt idx="643">
                  <c:v>1.1640226452656468</c:v>
                </c:pt>
                <c:pt idx="644">
                  <c:v>1.1735411223093197</c:v>
                </c:pt>
                <c:pt idx="645">
                  <c:v>1.1534465596615657</c:v>
                </c:pt>
                <c:pt idx="646">
                  <c:v>1.1529799676496211</c:v>
                </c:pt>
                <c:pt idx="647">
                  <c:v>1.1505225830533787</c:v>
                </c:pt>
                <c:pt idx="648">
                  <c:v>1.1339430135622752</c:v>
                </c:pt>
                <c:pt idx="649">
                  <c:v>1.1131641159636687</c:v>
                </c:pt>
                <c:pt idx="650">
                  <c:v>1.1133196466343169</c:v>
                </c:pt>
                <c:pt idx="651">
                  <c:v>1.1186076894363575</c:v>
                </c:pt>
                <c:pt idx="652">
                  <c:v>1.1018103770063461</c:v>
                </c:pt>
                <c:pt idx="653">
                  <c:v>1.1043921861391073</c:v>
                </c:pt>
                <c:pt idx="654">
                  <c:v>1.1136307079756134</c:v>
                </c:pt>
                <c:pt idx="655">
                  <c:v>1.1144394674629843</c:v>
                </c:pt>
                <c:pt idx="656">
                  <c:v>1.1237402015677498</c:v>
                </c:pt>
                <c:pt idx="657">
                  <c:v>1.1040189125295514</c:v>
                </c:pt>
                <c:pt idx="658">
                  <c:v>1.1190431753141725</c:v>
                </c:pt>
                <c:pt idx="659">
                  <c:v>1.1157459250964297</c:v>
                </c:pt>
                <c:pt idx="660">
                  <c:v>1.1344407117083495</c:v>
                </c:pt>
                <c:pt idx="661">
                  <c:v>1.1402264526564645</c:v>
                </c:pt>
                <c:pt idx="662">
                  <c:v>1.1465409978847834</c:v>
                </c:pt>
                <c:pt idx="663">
                  <c:v>1.1547219111608815</c:v>
                </c:pt>
                <c:pt idx="664">
                  <c:v>1.1507092198581566</c:v>
                </c:pt>
                <c:pt idx="665">
                  <c:v>1.1362448674878689</c:v>
                </c:pt>
                <c:pt idx="666">
                  <c:v>1.1490917008834147</c:v>
                </c:pt>
                <c:pt idx="667">
                  <c:v>1.145327858653727</c:v>
                </c:pt>
                <c:pt idx="668">
                  <c:v>1.1303035958691059</c:v>
                </c:pt>
                <c:pt idx="669">
                  <c:v>1.1197275102650248</c:v>
                </c:pt>
                <c:pt idx="670">
                  <c:v>1.1030235162374025</c:v>
                </c:pt>
                <c:pt idx="671">
                  <c:v>1.1063518725892749</c:v>
                </c:pt>
                <c:pt idx="672">
                  <c:v>1.1171145949981338</c:v>
                </c:pt>
                <c:pt idx="673">
                  <c:v>1.089772303098171</c:v>
                </c:pt>
                <c:pt idx="674">
                  <c:v>1.0689934054995647</c:v>
                </c:pt>
                <c:pt idx="675">
                  <c:v>1.074125917630957</c:v>
                </c:pt>
                <c:pt idx="676">
                  <c:v>1.0862262038073911</c:v>
                </c:pt>
                <c:pt idx="677">
                  <c:v>1.0914209282070426</c:v>
                </c:pt>
                <c:pt idx="678">
                  <c:v>1.1103645638919997</c:v>
                </c:pt>
                <c:pt idx="679">
                  <c:v>1.1305213388080131</c:v>
                </c:pt>
                <c:pt idx="680">
                  <c:v>1.1438036580813737</c:v>
                </c:pt>
                <c:pt idx="681">
                  <c:v>1.1484695782008214</c:v>
                </c:pt>
                <c:pt idx="682">
                  <c:v>1.1593256190120693</c:v>
                </c:pt>
                <c:pt idx="683">
                  <c:v>1.160072166231181</c:v>
                </c:pt>
                <c:pt idx="684">
                  <c:v>1.1511447057359714</c:v>
                </c:pt>
                <c:pt idx="685">
                  <c:v>1.1770250093318404</c:v>
                </c:pt>
                <c:pt idx="686">
                  <c:v>1.1733544855045417</c:v>
                </c:pt>
                <c:pt idx="687">
                  <c:v>1.1986126664178178</c:v>
                </c:pt>
                <c:pt idx="688">
                  <c:v>1.1995147443075778</c:v>
                </c:pt>
                <c:pt idx="689">
                  <c:v>1.2005412467338561</c:v>
                </c:pt>
                <c:pt idx="690">
                  <c:v>1.2008212019410229</c:v>
                </c:pt>
                <c:pt idx="691">
                  <c:v>1.2154410849819586</c:v>
                </c:pt>
                <c:pt idx="692">
                  <c:v>1.208379992534528</c:v>
                </c:pt>
                <c:pt idx="693">
                  <c:v>1.2133258678611423</c:v>
                </c:pt>
                <c:pt idx="694">
                  <c:v>1.2116150304840114</c:v>
                </c:pt>
                <c:pt idx="695">
                  <c:v>1.2105574219236033</c:v>
                </c:pt>
                <c:pt idx="696">
                  <c:v>1.2137302476048275</c:v>
                </c:pt>
                <c:pt idx="697">
                  <c:v>1.2125482145079007</c:v>
                </c:pt>
                <c:pt idx="698">
                  <c:v>1.2094998133631949</c:v>
                </c:pt>
                <c:pt idx="699">
                  <c:v>1.2129525942515862</c:v>
                </c:pt>
                <c:pt idx="700">
                  <c:v>1.2016921736966528</c:v>
                </c:pt>
                <c:pt idx="701">
                  <c:v>1.2047094687072291</c:v>
                </c:pt>
                <c:pt idx="702">
                  <c:v>1.1977416946621875</c:v>
                </c:pt>
                <c:pt idx="703">
                  <c:v>1.2144767948239394</c:v>
                </c:pt>
                <c:pt idx="704">
                  <c:v>1.2198892621624988</c:v>
                </c:pt>
                <c:pt idx="705">
                  <c:v>1.2303098170959317</c:v>
                </c:pt>
                <c:pt idx="706">
                  <c:v>1.2401082493467717</c:v>
                </c:pt>
                <c:pt idx="707">
                  <c:v>1.2558790593505045</c:v>
                </c:pt>
                <c:pt idx="708">
                  <c:v>1.2547903446559665</c:v>
                </c:pt>
                <c:pt idx="709">
                  <c:v>1.2608560408112484</c:v>
                </c:pt>
                <c:pt idx="710">
                  <c:v>1.2662685081498077</c:v>
                </c:pt>
                <c:pt idx="711">
                  <c:v>1.272738584048775</c:v>
                </c:pt>
                <c:pt idx="712">
                  <c:v>1.2538260544979476</c:v>
                </c:pt>
                <c:pt idx="713">
                  <c:v>1.2684148314047534</c:v>
                </c:pt>
                <c:pt idx="714">
                  <c:v>1.2703123055866621</c:v>
                </c:pt>
                <c:pt idx="715">
                  <c:v>1.2780888391190746</c:v>
                </c:pt>
                <c:pt idx="716">
                  <c:v>1.280017419435113</c:v>
                </c:pt>
                <c:pt idx="717">
                  <c:v>1.27939529675252</c:v>
                </c:pt>
                <c:pt idx="718">
                  <c:v>1.2738584048774422</c:v>
                </c:pt>
                <c:pt idx="719">
                  <c:v>1.2523018539255943</c:v>
                </c:pt>
                <c:pt idx="720">
                  <c:v>1.2390506407863633</c:v>
                </c:pt>
                <c:pt idx="721">
                  <c:v>1.232673883289785</c:v>
                </c:pt>
                <c:pt idx="722">
                  <c:v>1.2341358715938786</c:v>
                </c:pt>
                <c:pt idx="723">
                  <c:v>1.2596429015801918</c:v>
                </c:pt>
                <c:pt idx="724">
                  <c:v>1.2621313923105639</c:v>
                </c:pt>
                <c:pt idx="725">
                  <c:v>1.2706855791962177</c:v>
                </c:pt>
                <c:pt idx="726">
                  <c:v>1.2733296005972381</c:v>
                </c:pt>
                <c:pt idx="727">
                  <c:v>1.2739828294139608</c:v>
                </c:pt>
                <c:pt idx="728">
                  <c:v>1.2738584048774422</c:v>
                </c:pt>
                <c:pt idx="729">
                  <c:v>1.266672887893493</c:v>
                </c:pt>
                <c:pt idx="730">
                  <c:v>1.2846522334204311</c:v>
                </c:pt>
                <c:pt idx="731">
                  <c:v>1.3101281572726149</c:v>
                </c:pt>
                <c:pt idx="732">
                  <c:v>1.3118389946497457</c:v>
                </c:pt>
                <c:pt idx="733">
                  <c:v>1.3172825681224345</c:v>
                </c:pt>
                <c:pt idx="734">
                  <c:v>1.3245925096429021</c:v>
                </c:pt>
                <c:pt idx="735">
                  <c:v>1.3262100286176439</c:v>
                </c:pt>
                <c:pt idx="736">
                  <c:v>1.3183090705487126</c:v>
                </c:pt>
                <c:pt idx="737">
                  <c:v>1.3318091327609809</c:v>
                </c:pt>
                <c:pt idx="738">
                  <c:v>1.3229438845340307</c:v>
                </c:pt>
                <c:pt idx="739">
                  <c:v>1.2970324748040318</c:v>
                </c:pt>
                <c:pt idx="740">
                  <c:v>1.3123055866616899</c:v>
                </c:pt>
                <c:pt idx="741">
                  <c:v>1.3344842602961309</c:v>
                </c:pt>
                <c:pt idx="742">
                  <c:v>1.3327423167848704</c:v>
                </c:pt>
                <c:pt idx="743">
                  <c:v>1.3300671892497204</c:v>
                </c:pt>
                <c:pt idx="744">
                  <c:v>1.3437538882667668</c:v>
                </c:pt>
                <c:pt idx="745">
                  <c:v>1.3462423789971389</c:v>
                </c:pt>
                <c:pt idx="746">
                  <c:v>1.3594935921363698</c:v>
                </c:pt>
                <c:pt idx="747">
                  <c:v>1.3541744432001994</c:v>
                </c:pt>
                <c:pt idx="748">
                  <c:v>1.3330533781261669</c:v>
                </c:pt>
                <c:pt idx="749">
                  <c:v>1.3475799427647135</c:v>
                </c:pt>
                <c:pt idx="750">
                  <c:v>1.3515926340674382</c:v>
                </c:pt>
                <c:pt idx="751">
                  <c:v>1.3393368172203559</c:v>
                </c:pt>
                <c:pt idx="752">
                  <c:v>1.3292273236282195</c:v>
                </c:pt>
                <c:pt idx="753">
                  <c:v>1.3239081746920494</c:v>
                </c:pt>
                <c:pt idx="754">
                  <c:v>1.3626664178175936</c:v>
                </c:pt>
                <c:pt idx="755">
                  <c:v>1.3586537265148686</c:v>
                </c:pt>
                <c:pt idx="756">
                  <c:v>1.3579382854298867</c:v>
                </c:pt>
                <c:pt idx="757">
                  <c:v>1.3612044295135</c:v>
                </c:pt>
                <c:pt idx="758">
                  <c:v>1.3539567002612913</c:v>
                </c:pt>
                <c:pt idx="759">
                  <c:v>1.3655592882916512</c:v>
                </c:pt>
                <c:pt idx="760">
                  <c:v>1.3861204429513503</c:v>
                </c:pt>
                <c:pt idx="761">
                  <c:v>1.3811745676247358</c:v>
                </c:pt>
                <c:pt idx="762">
                  <c:v>1.3563829787234045</c:v>
                </c:pt>
                <c:pt idx="763">
                  <c:v>1.3649060594749287</c:v>
                </c:pt>
                <c:pt idx="764">
                  <c:v>1.3856227448052758</c:v>
                </c:pt>
                <c:pt idx="765">
                  <c:v>1.3656215005599106</c:v>
                </c:pt>
                <c:pt idx="766">
                  <c:v>1.3605512006967777</c:v>
                </c:pt>
                <c:pt idx="767">
                  <c:v>1.3800547467960687</c:v>
                </c:pt>
                <c:pt idx="768">
                  <c:v>1.3694475550578578</c:v>
                </c:pt>
                <c:pt idx="769">
                  <c:v>1.3659947741694665</c:v>
                </c:pt>
                <c:pt idx="770">
                  <c:v>1.349757372153789</c:v>
                </c:pt>
                <c:pt idx="771">
                  <c:v>1.3608311559039445</c:v>
                </c:pt>
                <c:pt idx="772">
                  <c:v>1.3642217245240764</c:v>
                </c:pt>
                <c:pt idx="773">
                  <c:v>1.3803969142714945</c:v>
                </c:pt>
                <c:pt idx="774">
                  <c:v>1.3869292024387212</c:v>
                </c:pt>
                <c:pt idx="775">
                  <c:v>1.3885156152793332</c:v>
                </c:pt>
                <c:pt idx="776">
                  <c:v>1.3834764215503299</c:v>
                </c:pt>
                <c:pt idx="777">
                  <c:v>1.3789971382356603</c:v>
                </c:pt>
                <c:pt idx="778">
                  <c:v>1.3836941644892373</c:v>
                </c:pt>
                <c:pt idx="779">
                  <c:v>1.381143461490606</c:v>
                </c:pt>
                <c:pt idx="780">
                  <c:v>1.3840674380987932</c:v>
                </c:pt>
                <c:pt idx="781">
                  <c:v>1.3721226825930075</c:v>
                </c:pt>
                <c:pt idx="782">
                  <c:v>1.375202189871843</c:v>
                </c:pt>
                <c:pt idx="783">
                  <c:v>1.3541744432001992</c:v>
                </c:pt>
                <c:pt idx="784">
                  <c:v>1.3701318900087101</c:v>
                </c:pt>
                <c:pt idx="785">
                  <c:v>1.3705362697523955</c:v>
                </c:pt>
                <c:pt idx="786">
                  <c:v>1.3756065696155286</c:v>
                </c:pt>
                <c:pt idx="787">
                  <c:v>1.3635996018414835</c:v>
                </c:pt>
                <c:pt idx="788">
                  <c:v>1.3853738957322386</c:v>
                </c:pt>
                <c:pt idx="789">
                  <c:v>1.3632885405001867</c:v>
                </c:pt>
                <c:pt idx="790">
                  <c:v>1.3408610177927087</c:v>
                </c:pt>
                <c:pt idx="791">
                  <c:v>1.3409854423292273</c:v>
                </c:pt>
                <c:pt idx="792">
                  <c:v>1.324623615777031</c:v>
                </c:pt>
                <c:pt idx="793">
                  <c:v>1.3170648251835262</c:v>
                </c:pt>
                <c:pt idx="794">
                  <c:v>1.2898158516859524</c:v>
                </c:pt>
                <c:pt idx="795">
                  <c:v>1.3027871096180166</c:v>
                </c:pt>
                <c:pt idx="796">
                  <c:v>1.3222284434490479</c:v>
                </c:pt>
                <c:pt idx="797">
                  <c:v>1.3267077267637175</c:v>
                </c:pt>
                <c:pt idx="798">
                  <c:v>1.3202998631330096</c:v>
                </c:pt>
                <c:pt idx="799">
                  <c:v>1.3406743809879305</c:v>
                </c:pt>
                <c:pt idx="800">
                  <c:v>1.3461179544606192</c:v>
                </c:pt>
                <c:pt idx="801">
                  <c:v>1.3207353490108245</c:v>
                </c:pt>
                <c:pt idx="802">
                  <c:v>1.3111857658330219</c:v>
                </c:pt>
                <c:pt idx="803">
                  <c:v>1.3279208659947739</c:v>
                </c:pt>
                <c:pt idx="804">
                  <c:v>1.354609929078014</c:v>
                </c:pt>
                <c:pt idx="805">
                  <c:v>1.3694475550578571</c:v>
                </c:pt>
                <c:pt idx="806">
                  <c:v>1.3696652979967645</c:v>
                </c:pt>
                <c:pt idx="807">
                  <c:v>1.3688565385093936</c:v>
                </c:pt>
                <c:pt idx="808">
                  <c:v>1.3718427273858398</c:v>
                </c:pt>
                <c:pt idx="809">
                  <c:v>1.3750777653353234</c:v>
                </c:pt>
                <c:pt idx="810">
                  <c:v>1.3782505910165479</c:v>
                </c:pt>
                <c:pt idx="811">
                  <c:v>1.3871158392434981</c:v>
                </c:pt>
                <c:pt idx="812">
                  <c:v>1.4087968147318641</c:v>
                </c:pt>
                <c:pt idx="813">
                  <c:v>1.4059350503919363</c:v>
                </c:pt>
                <c:pt idx="814">
                  <c:v>1.4052507154410838</c:v>
                </c:pt>
                <c:pt idx="815">
                  <c:v>1.415049147691924</c:v>
                </c:pt>
                <c:pt idx="816">
                  <c:v>1.4178175936294628</c:v>
                </c:pt>
                <c:pt idx="817">
                  <c:v>1.4175376384222957</c:v>
                </c:pt>
                <c:pt idx="818">
                  <c:v>1.4111608809257177</c:v>
                </c:pt>
                <c:pt idx="819">
                  <c:v>1.4245054124673378</c:v>
                </c:pt>
                <c:pt idx="820">
                  <c:v>1.4298867736717673</c:v>
                </c:pt>
                <c:pt idx="821">
                  <c:v>1.4198083862137605</c:v>
                </c:pt>
                <c:pt idx="822">
                  <c:v>1.4045974866243616</c:v>
                </c:pt>
                <c:pt idx="823">
                  <c:v>1.4019845713574708</c:v>
                </c:pt>
                <c:pt idx="824">
                  <c:v>1.4095122558168462</c:v>
                </c:pt>
                <c:pt idx="825">
                  <c:v>1.413369416448923</c:v>
                </c:pt>
                <c:pt idx="826">
                  <c:v>1.4418626353116828</c:v>
                </c:pt>
                <c:pt idx="827">
                  <c:v>1.4413649371656085</c:v>
                </c:pt>
                <c:pt idx="828">
                  <c:v>1.4400895856662927</c:v>
                </c:pt>
                <c:pt idx="829">
                  <c:v>1.4459064327485376</c:v>
                </c:pt>
                <c:pt idx="830">
                  <c:v>1.4558292895358962</c:v>
                </c:pt>
                <c:pt idx="831">
                  <c:v>1.4748973497573719</c:v>
                </c:pt>
                <c:pt idx="832">
                  <c:v>1.4828916262286922</c:v>
                </c:pt>
                <c:pt idx="833">
                  <c:v>1.4905748413587159</c:v>
                </c:pt>
                <c:pt idx="834">
                  <c:v>1.5088341420928209</c:v>
                </c:pt>
                <c:pt idx="835">
                  <c:v>1.5093007341047657</c:v>
                </c:pt>
                <c:pt idx="836">
                  <c:v>1.4976670399402767</c:v>
                </c:pt>
                <c:pt idx="837">
                  <c:v>1.4936543486375518</c:v>
                </c:pt>
                <c:pt idx="838">
                  <c:v>1.4743063332089092</c:v>
                </c:pt>
                <c:pt idx="839">
                  <c:v>1.49116585790718</c:v>
                </c:pt>
                <c:pt idx="840">
                  <c:v>1.4942453651860155</c:v>
                </c:pt>
                <c:pt idx="841">
                  <c:v>1.4981025258180922</c:v>
                </c:pt>
                <c:pt idx="842">
                  <c:v>1.4903259922856795</c:v>
                </c:pt>
                <c:pt idx="843">
                  <c:v>1.4990668159761114</c:v>
                </c:pt>
                <c:pt idx="844">
                  <c:v>1.5148065198457143</c:v>
                </c:pt>
                <c:pt idx="845">
                  <c:v>1.5274356103023525</c:v>
                </c:pt>
                <c:pt idx="846">
                  <c:v>1.5433619509767333</c:v>
                </c:pt>
                <c:pt idx="847">
                  <c:v>1.5470324748040321</c:v>
                </c:pt>
                <c:pt idx="848">
                  <c:v>1.548370038571607</c:v>
                </c:pt>
                <c:pt idx="849">
                  <c:v>1.5645141221848955</c:v>
                </c:pt>
                <c:pt idx="850">
                  <c:v>1.5302040562398913</c:v>
                </c:pt>
                <c:pt idx="851">
                  <c:v>1.5391937290033604</c:v>
                </c:pt>
                <c:pt idx="852">
                  <c:v>1.5433308448426037</c:v>
                </c:pt>
                <c:pt idx="853">
                  <c:v>1.543921861391067</c:v>
                </c:pt>
                <c:pt idx="854">
                  <c:v>1.4986002239641663</c:v>
                </c:pt>
                <c:pt idx="855">
                  <c:v>1.4915080253826061</c:v>
                </c:pt>
                <c:pt idx="856">
                  <c:v>1.4782879183775046</c:v>
                </c:pt>
                <c:pt idx="857">
                  <c:v>1.5003110613412969</c:v>
                </c:pt>
                <c:pt idx="858">
                  <c:v>1.4950230185392563</c:v>
                </c:pt>
                <c:pt idx="859">
                  <c:v>1.441396043299739</c:v>
                </c:pt>
                <c:pt idx="860">
                  <c:v>1.4255008087594876</c:v>
                </c:pt>
                <c:pt idx="861">
                  <c:v>1.4401206918004232</c:v>
                </c:pt>
                <c:pt idx="862">
                  <c:v>1.4430135622744804</c:v>
                </c:pt>
                <c:pt idx="863">
                  <c:v>1.4231989548338932</c:v>
                </c:pt>
                <c:pt idx="864">
                  <c:v>1.46531666044544</c:v>
                </c:pt>
                <c:pt idx="865">
                  <c:v>1.429824561403509</c:v>
                </c:pt>
                <c:pt idx="866">
                  <c:v>1.3958877690680602</c:v>
                </c:pt>
                <c:pt idx="867">
                  <c:v>1.354267761602588</c:v>
                </c:pt>
                <c:pt idx="868">
                  <c:v>1.3672079134005224</c:v>
                </c:pt>
                <c:pt idx="869">
                  <c:v>1.3524013935548089</c:v>
                </c:pt>
                <c:pt idx="870">
                  <c:v>1.3937725519472439</c:v>
                </c:pt>
                <c:pt idx="871">
                  <c:v>1.4010513873335824</c:v>
                </c:pt>
                <c:pt idx="872">
                  <c:v>1.4040686823441584</c:v>
                </c:pt>
                <c:pt idx="873">
                  <c:v>1.4389075525693669</c:v>
                </c:pt>
                <c:pt idx="874">
                  <c:v>1.4393741445813117</c:v>
                </c:pt>
                <c:pt idx="875">
                  <c:v>1.475737215378873</c:v>
                </c:pt>
                <c:pt idx="876">
                  <c:v>1.4776346895607815</c:v>
                </c:pt>
                <c:pt idx="877">
                  <c:v>1.4970449172576832</c:v>
                </c:pt>
                <c:pt idx="878">
                  <c:v>1.4939031977105885</c:v>
                </c:pt>
                <c:pt idx="879">
                  <c:v>1.5008709717556303</c:v>
                </c:pt>
                <c:pt idx="880">
                  <c:v>1.4770747791464478</c:v>
                </c:pt>
                <c:pt idx="881">
                  <c:v>1.4930944382232176</c:v>
                </c:pt>
                <c:pt idx="882">
                  <c:v>1.4785989797188004</c:v>
                </c:pt>
                <c:pt idx="883">
                  <c:v>1.4830160507652106</c:v>
                </c:pt>
                <c:pt idx="884">
                  <c:v>1.4661876322010698</c:v>
                </c:pt>
                <c:pt idx="885">
                  <c:v>1.4640413089461239</c:v>
                </c:pt>
                <c:pt idx="886">
                  <c:v>1.4814918501928576</c:v>
                </c:pt>
                <c:pt idx="887">
                  <c:v>1.4365123802413833</c:v>
                </c:pt>
                <c:pt idx="888">
                  <c:v>1.4327796441458254</c:v>
                </c:pt>
                <c:pt idx="889">
                  <c:v>1.4341172079134004</c:v>
                </c:pt>
                <c:pt idx="890">
                  <c:v>1.395701132263282</c:v>
                </c:pt>
                <c:pt idx="891">
                  <c:v>1.4136493716560901</c:v>
                </c:pt>
                <c:pt idx="892">
                  <c:v>1.4267139479905433</c:v>
                </c:pt>
                <c:pt idx="893">
                  <c:v>1.4576956575836748</c:v>
                </c:pt>
                <c:pt idx="894">
                  <c:v>1.472004479283314</c:v>
                </c:pt>
                <c:pt idx="895">
                  <c:v>1.4785989797187997</c:v>
                </c:pt>
                <c:pt idx="896">
                  <c:v>1.4720666915515732</c:v>
                </c:pt>
                <c:pt idx="897">
                  <c:v>1.4728443449048143</c:v>
                </c:pt>
                <c:pt idx="898">
                  <c:v>1.4664675874082358</c:v>
                </c:pt>
                <c:pt idx="899">
                  <c:v>1.503546099290779</c:v>
                </c:pt>
                <c:pt idx="900">
                  <c:v>1.5006843349508512</c:v>
                </c:pt>
                <c:pt idx="901">
                  <c:v>1.5025507029986302</c:v>
                </c:pt>
                <c:pt idx="902">
                  <c:v>1.5097984322508387</c:v>
                </c:pt>
                <c:pt idx="903">
                  <c:v>1.5111982082866728</c:v>
                </c:pt>
                <c:pt idx="904">
                  <c:v>1.5225519472439955</c:v>
                </c:pt>
                <c:pt idx="905">
                  <c:v>1.5140910787607305</c:v>
                </c:pt>
                <c:pt idx="906">
                  <c:v>1.5181970884658442</c:v>
                </c:pt>
                <c:pt idx="907">
                  <c:v>1.4970449172576821</c:v>
                </c:pt>
                <c:pt idx="908">
                  <c:v>1.4991601343784982</c:v>
                </c:pt>
                <c:pt idx="909">
                  <c:v>1.4980403135498308</c:v>
                </c:pt>
                <c:pt idx="910">
                  <c:v>1.5158641284061205</c:v>
                </c:pt>
                <c:pt idx="911">
                  <c:v>1.499626726390443</c:v>
                </c:pt>
                <c:pt idx="912">
                  <c:v>1.5220231429637914</c:v>
                </c:pt>
                <c:pt idx="913">
                  <c:v>1.5339990046037066</c:v>
                </c:pt>
                <c:pt idx="914">
                  <c:v>1.5322570610924462</c:v>
                </c:pt>
                <c:pt idx="915">
                  <c:v>1.5346522334204296</c:v>
                </c:pt>
                <c:pt idx="916">
                  <c:v>1.5475301729501045</c:v>
                </c:pt>
                <c:pt idx="917">
                  <c:v>1.526844593753887</c:v>
                </c:pt>
                <c:pt idx="918">
                  <c:v>1.5270312305586651</c:v>
                </c:pt>
                <c:pt idx="919">
                  <c:v>1.528088839119073</c:v>
                </c:pt>
                <c:pt idx="920">
                  <c:v>1.5381050143088206</c:v>
                </c:pt>
                <c:pt idx="921">
                  <c:v>1.5410600970511372</c:v>
                </c:pt>
                <c:pt idx="922">
                  <c:v>1.5427398282941385</c:v>
                </c:pt>
                <c:pt idx="923">
                  <c:v>1.5190991663556044</c:v>
                </c:pt>
                <c:pt idx="924">
                  <c:v>1.5314171954709459</c:v>
                </c:pt>
                <c:pt idx="925">
                  <c:v>1.540749035709841</c:v>
                </c:pt>
                <c:pt idx="926">
                  <c:v>1.5409978847828782</c:v>
                </c:pt>
                <c:pt idx="927">
                  <c:v>1.5558044046285922</c:v>
                </c:pt>
                <c:pt idx="928">
                  <c:v>1.5440462859275843</c:v>
                </c:pt>
                <c:pt idx="929">
                  <c:v>1.5050702998631325</c:v>
                </c:pt>
                <c:pt idx="930">
                  <c:v>1.5162062958815472</c:v>
                </c:pt>
                <c:pt idx="931">
                  <c:v>1.5117892248351368</c:v>
                </c:pt>
                <c:pt idx="932">
                  <c:v>1.5310750279955201</c:v>
                </c:pt>
                <c:pt idx="933">
                  <c:v>1.5726639293268625</c:v>
                </c:pt>
                <c:pt idx="934">
                  <c:v>1.5974244120940642</c:v>
                </c:pt>
                <c:pt idx="935">
                  <c:v>1.5992907801418432</c:v>
                </c:pt>
                <c:pt idx="936">
                  <c:v>1.5983575961179537</c:v>
                </c:pt>
                <c:pt idx="937">
                  <c:v>1.5954647256438961</c:v>
                </c:pt>
                <c:pt idx="938">
                  <c:v>1.5934117207913394</c:v>
                </c:pt>
                <c:pt idx="939">
                  <c:v>1.5823379370411839</c:v>
                </c:pt>
                <c:pt idx="940">
                  <c:v>1.5446373024760476</c:v>
                </c:pt>
                <c:pt idx="941">
                  <c:v>1.5553689187507769</c:v>
                </c:pt>
                <c:pt idx="942">
                  <c:v>1.5660694288913766</c:v>
                </c:pt>
                <c:pt idx="943">
                  <c:v>1.5651673510016169</c:v>
                </c:pt>
                <c:pt idx="944">
                  <c:v>1.5707975612790837</c:v>
                </c:pt>
                <c:pt idx="945">
                  <c:v>1.5733171581435852</c:v>
                </c:pt>
                <c:pt idx="946">
                  <c:v>1.5758056488739569</c:v>
                </c:pt>
                <c:pt idx="947">
                  <c:v>1.5842665173572221</c:v>
                </c:pt>
                <c:pt idx="948">
                  <c:v>1.5717929575712324</c:v>
                </c:pt>
                <c:pt idx="949">
                  <c:v>1.5856040811247971</c:v>
                </c:pt>
                <c:pt idx="950">
                  <c:v>1.6028679855667529</c:v>
                </c:pt>
                <c:pt idx="951">
                  <c:v>1.607782754759238</c:v>
                </c:pt>
                <c:pt idx="952">
                  <c:v>1.6276595744680846</c:v>
                </c:pt>
                <c:pt idx="953">
                  <c:v>1.6231491850192852</c:v>
                </c:pt>
                <c:pt idx="954">
                  <c:v>1.637675749657832</c:v>
                </c:pt>
                <c:pt idx="955">
                  <c:v>1.6249222346646752</c:v>
                </c:pt>
                <c:pt idx="956">
                  <c:v>1.6193853427895977</c:v>
                </c:pt>
                <c:pt idx="957">
                  <c:v>1.6483762597984315</c:v>
                </c:pt>
                <c:pt idx="958">
                  <c:v>1.6377379619260912</c:v>
                </c:pt>
                <c:pt idx="959">
                  <c:v>1.6502737339803402</c:v>
                </c:pt>
                <c:pt idx="960">
                  <c:v>1.6740388204553929</c:v>
                </c:pt>
                <c:pt idx="961">
                  <c:v>1.6666666666666656</c:v>
                </c:pt>
                <c:pt idx="962">
                  <c:v>1.6065385093940519</c:v>
                </c:pt>
                <c:pt idx="963">
                  <c:v>1.599384098544232</c:v>
                </c:pt>
                <c:pt idx="964">
                  <c:v>1.613350752768445</c:v>
                </c:pt>
                <c:pt idx="965">
                  <c:v>1.6264464352370278</c:v>
                </c:pt>
                <c:pt idx="966">
                  <c:v>1.6485006843349499</c:v>
                </c:pt>
                <c:pt idx="967">
                  <c:v>1.6473808635062823</c:v>
                </c:pt>
                <c:pt idx="968">
                  <c:v>1.6254821450790082</c:v>
                </c:pt>
                <c:pt idx="969">
                  <c:v>1.6038633818589014</c:v>
                </c:pt>
                <c:pt idx="970">
                  <c:v>1.5902388951101145</c:v>
                </c:pt>
                <c:pt idx="971">
                  <c:v>1.5871282816971495</c:v>
                </c:pt>
                <c:pt idx="972">
                  <c:v>1.6131019036954075</c:v>
                </c:pt>
                <c:pt idx="973">
                  <c:v>1.6316411596366789</c:v>
                </c:pt>
                <c:pt idx="974">
                  <c:v>1.602525818091326</c:v>
                </c:pt>
                <c:pt idx="975">
                  <c:v>1.6028057732984928</c:v>
                </c:pt>
                <c:pt idx="976">
                  <c:v>1.5776720169217355</c:v>
                </c:pt>
                <c:pt idx="977">
                  <c:v>1.5726017170586026</c:v>
                </c:pt>
                <c:pt idx="978">
                  <c:v>1.5711086226203792</c:v>
                </c:pt>
                <c:pt idx="979">
                  <c:v>1.6072539504790331</c:v>
                </c:pt>
                <c:pt idx="980">
                  <c:v>1.5959935299240995</c:v>
                </c:pt>
                <c:pt idx="981">
                  <c:v>1.6229314420803767</c:v>
                </c:pt>
                <c:pt idx="982">
                  <c:v>1.6324499191240496</c:v>
                </c:pt>
                <c:pt idx="983">
                  <c:v>1.6533221351250451</c:v>
                </c:pt>
                <c:pt idx="984">
                  <c:v>1.6568371282816954</c:v>
                </c:pt>
                <c:pt idx="985">
                  <c:v>1.6474741819086707</c:v>
                </c:pt>
                <c:pt idx="986">
                  <c:v>1.59950852308075</c:v>
                </c:pt>
                <c:pt idx="987">
                  <c:v>1.6231491850192838</c:v>
                </c:pt>
                <c:pt idx="988">
                  <c:v>1.6201007838745785</c:v>
                </c:pt>
                <c:pt idx="989">
                  <c:v>1.6270063456513606</c:v>
                </c:pt>
                <c:pt idx="990">
                  <c:v>1.6246422794575071</c:v>
                </c:pt>
                <c:pt idx="991">
                  <c:v>1.6116399153913132</c:v>
                </c:pt>
                <c:pt idx="992">
                  <c:v>1.631423416697771</c:v>
                </c:pt>
                <c:pt idx="993">
                  <c:v>1.6388266766206279</c:v>
                </c:pt>
                <c:pt idx="994">
                  <c:v>1.6473808635062819</c:v>
                </c:pt>
                <c:pt idx="995">
                  <c:v>1.6266019659076754</c:v>
                </c:pt>
                <c:pt idx="996">
                  <c:v>1.6462921488117439</c:v>
                </c:pt>
                <c:pt idx="997">
                  <c:v>1.642372775911408</c:v>
                </c:pt>
                <c:pt idx="998">
                  <c:v>1.6433370660694269</c:v>
                </c:pt>
                <c:pt idx="999">
                  <c:v>1.666977728007961</c:v>
                </c:pt>
                <c:pt idx="1000">
                  <c:v>1.6739766081871323</c:v>
                </c:pt>
                <c:pt idx="1001">
                  <c:v>1.6777715565509497</c:v>
                </c:pt>
                <c:pt idx="1002">
                  <c:v>1.6782381485628945</c:v>
                </c:pt>
                <c:pt idx="1003">
                  <c:v>1.6711148438472048</c:v>
                </c:pt>
                <c:pt idx="1004">
                  <c:v>1.6364315042926447</c:v>
                </c:pt>
                <c:pt idx="1005">
                  <c:v>1.6171145949981318</c:v>
                </c:pt>
                <c:pt idx="1006">
                  <c:v>1.596740077143211</c:v>
                </c:pt>
                <c:pt idx="1007">
                  <c:v>1.6005972377752875</c:v>
                </c:pt>
                <c:pt idx="1008">
                  <c:v>1.5561465721040173</c:v>
                </c:pt>
                <c:pt idx="1009">
                  <c:v>1.5807204180664411</c:v>
                </c:pt>
                <c:pt idx="1010">
                  <c:v>1.5461303969142699</c:v>
                </c:pt>
                <c:pt idx="1011">
                  <c:v>1.5414644767948225</c:v>
                </c:pt>
                <c:pt idx="1012">
                  <c:v>1.5615590394425765</c:v>
                </c:pt>
                <c:pt idx="1013">
                  <c:v>1.5186014682095292</c:v>
                </c:pt>
                <c:pt idx="1014">
                  <c:v>1.529768570362074</c:v>
                </c:pt>
                <c:pt idx="1015">
                  <c:v>1.4704802787109605</c:v>
                </c:pt>
                <c:pt idx="1016">
                  <c:v>1.4669652855543101</c:v>
                </c:pt>
                <c:pt idx="1017">
                  <c:v>1.483513748911284</c:v>
                </c:pt>
                <c:pt idx="1018">
                  <c:v>1.4568246858280438</c:v>
                </c:pt>
                <c:pt idx="1019">
                  <c:v>1.4920368296628082</c:v>
                </c:pt>
                <c:pt idx="1020">
                  <c:v>1.5017108373771293</c:v>
                </c:pt>
                <c:pt idx="1021">
                  <c:v>1.4761104889884273</c:v>
                </c:pt>
                <c:pt idx="1022">
                  <c:v>1.4958628841607551</c:v>
                </c:pt>
                <c:pt idx="1023">
                  <c:v>1.490792584297622</c:v>
                </c:pt>
                <c:pt idx="1024">
                  <c:v>1.4957073534901066</c:v>
                </c:pt>
                <c:pt idx="1025">
                  <c:v>1.5262535772054233</c:v>
                </c:pt>
                <c:pt idx="1026">
                  <c:v>1.5349632947617251</c:v>
                </c:pt>
                <c:pt idx="1027">
                  <c:v>1.5067189249720025</c:v>
                </c:pt>
                <c:pt idx="1028">
                  <c:v>1.4981336319522189</c:v>
                </c:pt>
                <c:pt idx="1029">
                  <c:v>1.4586910538758224</c:v>
                </c:pt>
                <c:pt idx="1030">
                  <c:v>1.4586288416075632</c:v>
                </c:pt>
                <c:pt idx="1031">
                  <c:v>1.4703869603085711</c:v>
                </c:pt>
                <c:pt idx="1032">
                  <c:v>1.4811185765833004</c:v>
                </c:pt>
                <c:pt idx="1033">
                  <c:v>1.4018290406868219</c:v>
                </c:pt>
                <c:pt idx="1034">
                  <c:v>1.3147629712579305</c:v>
                </c:pt>
                <c:pt idx="1035">
                  <c:v>1.317935796939155</c:v>
                </c:pt>
                <c:pt idx="1036">
                  <c:v>1.2942018165982319</c:v>
                </c:pt>
                <c:pt idx="1037">
                  <c:v>1.4495458504417058</c:v>
                </c:pt>
                <c:pt idx="1038">
                  <c:v>1.3878934925967388</c:v>
                </c:pt>
                <c:pt idx="1039">
                  <c:v>1.4134627348513111</c:v>
                </c:pt>
                <c:pt idx="1040">
                  <c:v>1.4230434241632437</c:v>
                </c:pt>
                <c:pt idx="1041">
                  <c:v>1.4246298370038557</c:v>
                </c:pt>
                <c:pt idx="1042">
                  <c:v>1.3816722657708085</c:v>
                </c:pt>
                <c:pt idx="1043">
                  <c:v>1.3814234166977715</c:v>
                </c:pt>
                <c:pt idx="1044">
                  <c:v>1.3472377752892857</c:v>
                </c:pt>
                <c:pt idx="1045">
                  <c:v>1.3826054497946982</c:v>
                </c:pt>
                <c:pt idx="1046">
                  <c:v>1.4139604329973858</c:v>
                </c:pt>
                <c:pt idx="1047">
                  <c:v>1.4537451785492088</c:v>
                </c:pt>
                <c:pt idx="1048">
                  <c:v>1.4699514744307565</c:v>
                </c:pt>
                <c:pt idx="1049">
                  <c:v>1.4694848824188118</c:v>
                </c:pt>
                <c:pt idx="1050">
                  <c:v>1.4791899962672626</c:v>
                </c:pt>
                <c:pt idx="1051">
                  <c:v>1.4790033594624847</c:v>
                </c:pt>
                <c:pt idx="1052">
                  <c:v>1.4983202687569974</c:v>
                </c:pt>
                <c:pt idx="1053">
                  <c:v>1.5205611546596973</c:v>
                </c:pt>
                <c:pt idx="1054">
                  <c:v>1.5115403757620989</c:v>
                </c:pt>
                <c:pt idx="1055">
                  <c:v>1.4974804031354969</c:v>
                </c:pt>
                <c:pt idx="1056">
                  <c:v>1.5033594624860007</c:v>
                </c:pt>
                <c:pt idx="1057">
                  <c:v>1.5188814234166963</c:v>
                </c:pt>
                <c:pt idx="1058">
                  <c:v>1.5178860271245476</c:v>
                </c:pt>
                <c:pt idx="1059">
                  <c:v>1.5797250217742926</c:v>
                </c:pt>
                <c:pt idx="1060">
                  <c:v>1.6038011695906418</c:v>
                </c:pt>
                <c:pt idx="1061">
                  <c:v>1.6134129650367033</c:v>
                </c:pt>
                <c:pt idx="1062">
                  <c:v>1.6151860146820933</c:v>
                </c:pt>
                <c:pt idx="1063">
                  <c:v>1.6222160009953941</c:v>
                </c:pt>
                <c:pt idx="1064">
                  <c:v>1.6237713077018765</c:v>
                </c:pt>
                <c:pt idx="1065">
                  <c:v>1.6183588403633173</c:v>
                </c:pt>
                <c:pt idx="1066">
                  <c:v>1.5958691053875802</c:v>
                </c:pt>
                <c:pt idx="1067">
                  <c:v>1.5988552942640268</c:v>
                </c:pt>
                <c:pt idx="1068">
                  <c:v>1.5840487744183132</c:v>
                </c:pt>
                <c:pt idx="1069">
                  <c:v>1.6213139231056342</c:v>
                </c:pt>
                <c:pt idx="1070">
                  <c:v>1.6141284061216847</c:v>
                </c:pt>
                <c:pt idx="1071">
                  <c:v>1.617301231802909</c:v>
                </c:pt>
                <c:pt idx="1072">
                  <c:v>1.6147505288042778</c:v>
                </c:pt>
                <c:pt idx="1073">
                  <c:v>1.6275040437974346</c:v>
                </c:pt>
                <c:pt idx="1074">
                  <c:v>1.6402264526564614</c:v>
                </c:pt>
                <c:pt idx="1075">
                  <c:v>1.6447990543735203</c:v>
                </c:pt>
                <c:pt idx="1076">
                  <c:v>1.6324188129899193</c:v>
                </c:pt>
                <c:pt idx="1077">
                  <c:v>1.6483762597984297</c:v>
                </c:pt>
                <c:pt idx="1078">
                  <c:v>1.6508025382605427</c:v>
                </c:pt>
                <c:pt idx="1079">
                  <c:v>1.6617207913400498</c:v>
                </c:pt>
                <c:pt idx="1080">
                  <c:v>1.6561216871967126</c:v>
                </c:pt>
                <c:pt idx="1081">
                  <c:v>1.6600099539629189</c:v>
                </c:pt>
                <c:pt idx="1082">
                  <c:v>1.6391688440960535</c:v>
                </c:pt>
                <c:pt idx="1083">
                  <c:v>1.6619696404130868</c:v>
                </c:pt>
                <c:pt idx="1084">
                  <c:v>1.6457633445315394</c:v>
                </c:pt>
                <c:pt idx="1085">
                  <c:v>1.6454833893243723</c:v>
                </c:pt>
                <c:pt idx="1086">
                  <c:v>1.638764464352368</c:v>
                </c:pt>
                <c:pt idx="1087">
                  <c:v>1.6537576210028591</c:v>
                </c:pt>
                <c:pt idx="1088">
                  <c:v>1.679046908050265</c:v>
                </c:pt>
                <c:pt idx="1089">
                  <c:v>1.6833395545601568</c:v>
                </c:pt>
                <c:pt idx="1090">
                  <c:v>1.69907925842976</c:v>
                </c:pt>
                <c:pt idx="1091">
                  <c:v>1.7048961055120049</c:v>
                </c:pt>
                <c:pt idx="1092">
                  <c:v>1.7159387831280304</c:v>
                </c:pt>
                <c:pt idx="1093">
                  <c:v>1.701474430757743</c:v>
                </c:pt>
                <c:pt idx="1094">
                  <c:v>1.7133258678611394</c:v>
                </c:pt>
                <c:pt idx="1095">
                  <c:v>1.7301853925594102</c:v>
                </c:pt>
                <c:pt idx="1096">
                  <c:v>1.7171519223590865</c:v>
                </c:pt>
                <c:pt idx="1097">
                  <c:v>1.7181162125171059</c:v>
                </c:pt>
                <c:pt idx="1098">
                  <c:v>1.7302787109617992</c:v>
                </c:pt>
                <c:pt idx="1099">
                  <c:v>1.7277902202314273</c:v>
                </c:pt>
                <c:pt idx="1100">
                  <c:v>1.7239019534652211</c:v>
                </c:pt>
                <c:pt idx="1101">
                  <c:v>1.730154286425281</c:v>
                </c:pt>
                <c:pt idx="1102">
                  <c:v>1.731740699265893</c:v>
                </c:pt>
                <c:pt idx="1103">
                  <c:v>1.7335137489112831</c:v>
                </c:pt>
                <c:pt idx="1104">
                  <c:v>1.7475426154037554</c:v>
                </c:pt>
                <c:pt idx="1105">
                  <c:v>1.7458628841607544</c:v>
                </c:pt>
                <c:pt idx="1106">
                  <c:v>1.7549147691924827</c:v>
                </c:pt>
                <c:pt idx="1107">
                  <c:v>1.7458317780266248</c:v>
                </c:pt>
                <c:pt idx="1108">
                  <c:v>1.7537949483638149</c:v>
                </c:pt>
                <c:pt idx="1109">
                  <c:v>1.7575276844593732</c:v>
                </c:pt>
                <c:pt idx="1110">
                  <c:v>1.7617581187010058</c:v>
                </c:pt>
                <c:pt idx="1111">
                  <c:v>1.7672639044419538</c:v>
                </c:pt>
                <c:pt idx="1112">
                  <c:v>1.7645265646385446</c:v>
                </c:pt>
                <c:pt idx="1113">
                  <c:v>1.7668906308323979</c:v>
                </c:pt>
                <c:pt idx="1114">
                  <c:v>1.7575276844593732</c:v>
                </c:pt>
                <c:pt idx="1115">
                  <c:v>1.7229065571730724</c:v>
                </c:pt>
                <c:pt idx="1116">
                  <c:v>1.754697026253575</c:v>
                </c:pt>
                <c:pt idx="1117">
                  <c:v>1.7427833768819188</c:v>
                </c:pt>
                <c:pt idx="1118">
                  <c:v>1.7647132014433224</c:v>
                </c:pt>
                <c:pt idx="1119">
                  <c:v>1.7706855791962151</c:v>
                </c:pt>
                <c:pt idx="1120">
                  <c:v>1.7872029364190591</c:v>
                </c:pt>
                <c:pt idx="1121">
                  <c:v>1.7819148936170188</c:v>
                </c:pt>
                <c:pt idx="1122">
                  <c:v>1.8043113101903669</c:v>
                </c:pt>
                <c:pt idx="1123">
                  <c:v>1.8052133880801269</c:v>
                </c:pt>
                <c:pt idx="1124">
                  <c:v>1.8038136120442925</c:v>
                </c:pt>
                <c:pt idx="1125">
                  <c:v>1.7958815478412318</c:v>
                </c:pt>
                <c:pt idx="1126">
                  <c:v>1.7951661067562497</c:v>
                </c:pt>
                <c:pt idx="1127">
                  <c:v>1.7708100037327332</c:v>
                </c:pt>
                <c:pt idx="1128">
                  <c:v>1.7602961303969116</c:v>
                </c:pt>
                <c:pt idx="1129">
                  <c:v>1.752146323254943</c:v>
                </c:pt>
                <c:pt idx="1130">
                  <c:v>1.7791775538136092</c:v>
                </c:pt>
                <c:pt idx="1131">
                  <c:v>1.7740450416822169</c:v>
                </c:pt>
                <c:pt idx="1132">
                  <c:v>1.7811683463979067</c:v>
                </c:pt>
                <c:pt idx="1133">
                  <c:v>1.7839056862013158</c:v>
                </c:pt>
                <c:pt idx="1134">
                  <c:v>1.7950727883538604</c:v>
                </c:pt>
                <c:pt idx="1135">
                  <c:v>1.7742938907552539</c:v>
                </c:pt>
                <c:pt idx="1136">
                  <c:v>1.759425158641281</c:v>
                </c:pt>
                <c:pt idx="1137">
                  <c:v>1.7732673883289753</c:v>
                </c:pt>
                <c:pt idx="1138">
                  <c:v>1.7893181535398748</c:v>
                </c:pt>
                <c:pt idx="1139">
                  <c:v>1.7918999626726357</c:v>
                </c:pt>
                <c:pt idx="1140">
                  <c:v>1.8006407863630676</c:v>
                </c:pt>
                <c:pt idx="1141">
                  <c:v>1.8057421923603301</c:v>
                </c:pt>
                <c:pt idx="1142">
                  <c:v>1.8063332089087936</c:v>
                </c:pt>
                <c:pt idx="1143">
                  <c:v>1.8168470822446154</c:v>
                </c:pt>
                <c:pt idx="1144">
                  <c:v>1.8248724648500649</c:v>
                </c:pt>
                <c:pt idx="1145">
                  <c:v>1.8404877441831493</c:v>
                </c:pt>
                <c:pt idx="1146">
                  <c:v>1.8389324374766669</c:v>
                </c:pt>
                <c:pt idx="1147">
                  <c:v>1.8352619136493682</c:v>
                </c:pt>
                <c:pt idx="1148">
                  <c:v>1.8518103770063423</c:v>
                </c:pt>
                <c:pt idx="1149">
                  <c:v>1.8643461490605913</c:v>
                </c:pt>
                <c:pt idx="1150">
                  <c:v>1.8732113972875415</c:v>
                </c:pt>
                <c:pt idx="1151">
                  <c:v>1.8607689436356813</c:v>
                </c:pt>
                <c:pt idx="1152">
                  <c:v>1.8542366554684546</c:v>
                </c:pt>
                <c:pt idx="1153">
                  <c:v>1.8462423789971343</c:v>
                </c:pt>
                <c:pt idx="1154">
                  <c:v>1.8538322757247689</c:v>
                </c:pt>
                <c:pt idx="1155">
                  <c:v>1.8624175687445526</c:v>
                </c:pt>
                <c:pt idx="1156">
                  <c:v>1.8675189747418151</c:v>
                </c:pt>
                <c:pt idx="1157">
                  <c:v>1.8764775413711545</c:v>
                </c:pt>
                <c:pt idx="1158">
                  <c:v>1.884191862635308</c:v>
                </c:pt>
                <c:pt idx="1159">
                  <c:v>1.8762597984322471</c:v>
                </c:pt>
                <c:pt idx="1160">
                  <c:v>1.8903508771929791</c:v>
                </c:pt>
                <c:pt idx="1161">
                  <c:v>1.8803969142714909</c:v>
                </c:pt>
                <c:pt idx="1162">
                  <c:v>1.9019534652233387</c:v>
                </c:pt>
                <c:pt idx="1163">
                  <c:v>1.8996516112977446</c:v>
                </c:pt>
                <c:pt idx="1164">
                  <c:v>1.8337066069428858</c:v>
                </c:pt>
                <c:pt idx="1165">
                  <c:v>1.8726203807390784</c:v>
                </c:pt>
                <c:pt idx="1166">
                  <c:v>1.8601468209530887</c:v>
                </c:pt>
                <c:pt idx="1167">
                  <c:v>1.8732736095558011</c:v>
                </c:pt>
                <c:pt idx="1168">
                  <c:v>1.8663369416448889</c:v>
                </c:pt>
                <c:pt idx="1169">
                  <c:v>1.878592758491971</c:v>
                </c:pt>
                <c:pt idx="1170">
                  <c:v>1.902264526564635</c:v>
                </c:pt>
                <c:pt idx="1171">
                  <c:v>1.9017668284185605</c:v>
                </c:pt>
                <c:pt idx="1172">
                  <c:v>1.8834453154161965</c:v>
                </c:pt>
                <c:pt idx="1173">
                  <c:v>1.8992783376881885</c:v>
                </c:pt>
                <c:pt idx="1174">
                  <c:v>1.9195595371407204</c:v>
                </c:pt>
                <c:pt idx="1175">
                  <c:v>1.9537451785492059</c:v>
                </c:pt>
                <c:pt idx="1176">
                  <c:v>1.9687694413338268</c:v>
                </c:pt>
                <c:pt idx="1177">
                  <c:v>1.977634689560777</c:v>
                </c:pt>
                <c:pt idx="1178">
                  <c:v>1.947399527186757</c:v>
                </c:pt>
                <c:pt idx="1179">
                  <c:v>1.9567935796939118</c:v>
                </c:pt>
                <c:pt idx="1180">
                  <c:v>1.9661565260669367</c:v>
                </c:pt>
                <c:pt idx="1181">
                  <c:v>1.9262473559785953</c:v>
                </c:pt>
                <c:pt idx="1182">
                  <c:v>1.9387831280328442</c:v>
                </c:pt>
                <c:pt idx="1183">
                  <c:v>1.9026689063083202</c:v>
                </c:pt>
                <c:pt idx="1184">
                  <c:v>1.8966654224212978</c:v>
                </c:pt>
                <c:pt idx="1185">
                  <c:v>1.938627597362196</c:v>
                </c:pt>
                <c:pt idx="1186">
                  <c:v>1.9334639790966741</c:v>
                </c:pt>
                <c:pt idx="1187">
                  <c:v>1.9319397785243213</c:v>
                </c:pt>
                <c:pt idx="1188">
                  <c:v>1.8924972004479246</c:v>
                </c:pt>
                <c:pt idx="1189">
                  <c:v>1.8939280826178884</c:v>
                </c:pt>
                <c:pt idx="1190">
                  <c:v>1.8777528928704701</c:v>
                </c:pt>
                <c:pt idx="1191">
                  <c:v>1.8548898842851769</c:v>
                </c:pt>
                <c:pt idx="1192">
                  <c:v>1.8659636680353324</c:v>
                </c:pt>
                <c:pt idx="1193">
                  <c:v>1.8217929575712291</c:v>
                </c:pt>
                <c:pt idx="1194">
                  <c:v>1.8354796565882754</c:v>
                </c:pt>
                <c:pt idx="1195">
                  <c:v>1.8824188129899175</c:v>
                </c:pt>
                <c:pt idx="1196">
                  <c:v>1.8940214010202769</c:v>
                </c:pt>
                <c:pt idx="1197">
                  <c:v>1.9107565011820289</c:v>
                </c:pt>
                <c:pt idx="1198">
                  <c:v>1.9262473559785946</c:v>
                </c:pt>
                <c:pt idx="1199">
                  <c:v>1.9197772800796271</c:v>
                </c:pt>
                <c:pt idx="1200">
                  <c:v>1.9348015428642484</c:v>
                </c:pt>
                <c:pt idx="1201">
                  <c:v>1.9395296752519551</c:v>
                </c:pt>
                <c:pt idx="1202">
                  <c:v>1.9377255194724357</c:v>
                </c:pt>
                <c:pt idx="1203">
                  <c:v>1.9456264775413665</c:v>
                </c:pt>
                <c:pt idx="1204">
                  <c:v>1.9418937414458084</c:v>
                </c:pt>
                <c:pt idx="1205">
                  <c:v>1.9442889137737913</c:v>
                </c:pt>
                <c:pt idx="1206">
                  <c:v>1.9522520841109821</c:v>
                </c:pt>
                <c:pt idx="1207">
                  <c:v>1.9459375388826632</c:v>
                </c:pt>
                <c:pt idx="1208">
                  <c:v>1.9087346024636014</c:v>
                </c:pt>
                <c:pt idx="1209">
                  <c:v>1.899153913151669</c:v>
                </c:pt>
                <c:pt idx="1210">
                  <c:v>1.9029177553813568</c:v>
                </c:pt>
                <c:pt idx="1211">
                  <c:v>1.8676433992783332</c:v>
                </c:pt>
                <c:pt idx="1212">
                  <c:v>1.894705735971129</c:v>
                </c:pt>
                <c:pt idx="1213">
                  <c:v>1.9194040064700713</c:v>
                </c:pt>
                <c:pt idx="1214">
                  <c:v>1.926122931442076</c:v>
                </c:pt>
                <c:pt idx="1215">
                  <c:v>1.9351437103396745</c:v>
                </c:pt>
                <c:pt idx="1216">
                  <c:v>1.9408050267512706</c:v>
                </c:pt>
                <c:pt idx="1217">
                  <c:v>1.940680602214752</c:v>
                </c:pt>
                <c:pt idx="1218">
                  <c:v>1.9312865497075977</c:v>
                </c:pt>
                <c:pt idx="1219">
                  <c:v>1.9268072663929279</c:v>
                </c:pt>
                <c:pt idx="1220">
                  <c:v>1.9108809257185468</c:v>
                </c:pt>
                <c:pt idx="1221">
                  <c:v>1.9071792957571185</c:v>
                </c:pt>
                <c:pt idx="1222">
                  <c:v>1.922327983078258</c:v>
                </c:pt>
                <c:pt idx="1223">
                  <c:v>1.939218613910658</c:v>
                </c:pt>
                <c:pt idx="1224">
                  <c:v>1.941084981958437</c:v>
                </c:pt>
                <c:pt idx="1225">
                  <c:v>1.9300423043424113</c:v>
                </c:pt>
                <c:pt idx="1226">
                  <c:v>1.9492658952345352</c:v>
                </c:pt>
                <c:pt idx="1227">
                  <c:v>1.950883414209277</c:v>
                </c:pt>
                <c:pt idx="1228">
                  <c:v>1.9479905437352196</c:v>
                </c:pt>
                <c:pt idx="1229">
                  <c:v>1.9271805400024835</c:v>
                </c:pt>
                <c:pt idx="1230">
                  <c:v>1.9341172079133955</c:v>
                </c:pt>
                <c:pt idx="1231">
                  <c:v>1.9324996889386539</c:v>
                </c:pt>
                <c:pt idx="1232">
                  <c:v>1.8914395918875153</c:v>
                </c:pt>
                <c:pt idx="1233">
                  <c:v>1.9170088341420881</c:v>
                </c:pt>
                <c:pt idx="1234">
                  <c:v>1.9309443822321715</c:v>
                </c:pt>
                <c:pt idx="1235">
                  <c:v>1.9370411845215829</c:v>
                </c:pt>
                <c:pt idx="1236">
                  <c:v>1.9455642652731073</c:v>
                </c:pt>
                <c:pt idx="1237">
                  <c:v>1.963201443324619</c:v>
                </c:pt>
                <c:pt idx="1238">
                  <c:v>1.9697026253577159</c:v>
                </c:pt>
                <c:pt idx="1239">
                  <c:v>1.9579134005225782</c:v>
                </c:pt>
                <c:pt idx="1240">
                  <c:v>1.9343971631205628</c:v>
                </c:pt>
                <c:pt idx="1241">
                  <c:v>1.9476794823939232</c:v>
                </c:pt>
                <c:pt idx="1242">
                  <c:v>1.9177553813611996</c:v>
                </c:pt>
                <c:pt idx="1243">
                  <c:v>1.8842540749035663</c:v>
                </c:pt>
                <c:pt idx="1244">
                  <c:v>1.8571295259425111</c:v>
                </c:pt>
                <c:pt idx="1245">
                  <c:v>1.8963854672141298</c:v>
                </c:pt>
                <c:pt idx="1246">
                  <c:v>1.9109120318526767</c:v>
                </c:pt>
                <c:pt idx="1247">
                  <c:v>1.9020467836257262</c:v>
                </c:pt>
                <c:pt idx="1248">
                  <c:v>1.9071481896229889</c:v>
                </c:pt>
                <c:pt idx="1249">
                  <c:v>1.8683588403633149</c:v>
                </c:pt>
                <c:pt idx="1250">
                  <c:v>1.87234042553191</c:v>
                </c:pt>
                <c:pt idx="1251">
                  <c:v>1.8704118452158718</c:v>
                </c:pt>
                <c:pt idx="1252">
                  <c:v>1.884378499440085</c:v>
                </c:pt>
                <c:pt idx="1253">
                  <c:v>1.8771618763220064</c:v>
                </c:pt>
                <c:pt idx="1254">
                  <c:v>1.8937725519472395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E-497E-808C-0DB1131E9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10112"/>
        <c:axId val="150496672"/>
      </c:lineChart>
      <c:dateAx>
        <c:axId val="150510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6672"/>
        <c:crosses val="autoZero"/>
        <c:auto val="1"/>
        <c:lblOffset val="100"/>
        <c:baseTimeUnit val="days"/>
      </c:dateAx>
      <c:valAx>
        <c:axId val="1504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Calcs!$F$1</c:f>
              <c:strCache>
                <c:ptCount val="1"/>
                <c:pt idx="0">
                  <c:v>Drawdown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Calcs!$A$2:$A$1257</c:f>
              <c:numCache>
                <c:formatCode>m/d/yyyy</c:formatCode>
                <c:ptCount val="1256"/>
                <c:pt idx="0">
                  <c:v>44250</c:v>
                </c:pt>
                <c:pt idx="1">
                  <c:v>44251</c:v>
                </c:pt>
                <c:pt idx="2">
                  <c:v>44252</c:v>
                </c:pt>
                <c:pt idx="3">
                  <c:v>44253</c:v>
                </c:pt>
                <c:pt idx="4">
                  <c:v>44256</c:v>
                </c:pt>
                <c:pt idx="5">
                  <c:v>44257</c:v>
                </c:pt>
                <c:pt idx="6">
                  <c:v>44258</c:v>
                </c:pt>
                <c:pt idx="7">
                  <c:v>44259</c:v>
                </c:pt>
                <c:pt idx="8">
                  <c:v>44260</c:v>
                </c:pt>
                <c:pt idx="9">
                  <c:v>44263</c:v>
                </c:pt>
                <c:pt idx="10">
                  <c:v>44264</c:v>
                </c:pt>
                <c:pt idx="11">
                  <c:v>44265</c:v>
                </c:pt>
                <c:pt idx="12">
                  <c:v>44266</c:v>
                </c:pt>
                <c:pt idx="13">
                  <c:v>44267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44284</c:v>
                </c:pt>
                <c:pt idx="25">
                  <c:v>44285</c:v>
                </c:pt>
                <c:pt idx="26">
                  <c:v>44286</c:v>
                </c:pt>
                <c:pt idx="27">
                  <c:v>44287</c:v>
                </c:pt>
                <c:pt idx="28">
                  <c:v>44291</c:v>
                </c:pt>
                <c:pt idx="29">
                  <c:v>44292</c:v>
                </c:pt>
                <c:pt idx="30">
                  <c:v>44293</c:v>
                </c:pt>
                <c:pt idx="31">
                  <c:v>44294</c:v>
                </c:pt>
                <c:pt idx="32">
                  <c:v>44295</c:v>
                </c:pt>
                <c:pt idx="33">
                  <c:v>44298</c:v>
                </c:pt>
                <c:pt idx="34">
                  <c:v>44299</c:v>
                </c:pt>
                <c:pt idx="35">
                  <c:v>44300</c:v>
                </c:pt>
                <c:pt idx="36">
                  <c:v>44301</c:v>
                </c:pt>
                <c:pt idx="37">
                  <c:v>44302</c:v>
                </c:pt>
                <c:pt idx="38">
                  <c:v>44305</c:v>
                </c:pt>
                <c:pt idx="39">
                  <c:v>44306</c:v>
                </c:pt>
                <c:pt idx="40">
                  <c:v>44307</c:v>
                </c:pt>
                <c:pt idx="41">
                  <c:v>44308</c:v>
                </c:pt>
                <c:pt idx="42">
                  <c:v>44309</c:v>
                </c:pt>
                <c:pt idx="43">
                  <c:v>44312</c:v>
                </c:pt>
                <c:pt idx="44">
                  <c:v>44313</c:v>
                </c:pt>
                <c:pt idx="45">
                  <c:v>44314</c:v>
                </c:pt>
                <c:pt idx="46">
                  <c:v>44315</c:v>
                </c:pt>
                <c:pt idx="47">
                  <c:v>44316</c:v>
                </c:pt>
                <c:pt idx="48">
                  <c:v>44319</c:v>
                </c:pt>
                <c:pt idx="49">
                  <c:v>44320</c:v>
                </c:pt>
                <c:pt idx="50">
                  <c:v>44321</c:v>
                </c:pt>
                <c:pt idx="51">
                  <c:v>44322</c:v>
                </c:pt>
                <c:pt idx="52">
                  <c:v>44323</c:v>
                </c:pt>
                <c:pt idx="53">
                  <c:v>44326</c:v>
                </c:pt>
                <c:pt idx="54">
                  <c:v>44327</c:v>
                </c:pt>
                <c:pt idx="55">
                  <c:v>44328</c:v>
                </c:pt>
                <c:pt idx="56">
                  <c:v>44329</c:v>
                </c:pt>
                <c:pt idx="57">
                  <c:v>44330</c:v>
                </c:pt>
                <c:pt idx="58">
                  <c:v>44333</c:v>
                </c:pt>
                <c:pt idx="59">
                  <c:v>44334</c:v>
                </c:pt>
                <c:pt idx="60">
                  <c:v>44335</c:v>
                </c:pt>
                <c:pt idx="61">
                  <c:v>44336</c:v>
                </c:pt>
                <c:pt idx="62">
                  <c:v>44337</c:v>
                </c:pt>
                <c:pt idx="63">
                  <c:v>44340</c:v>
                </c:pt>
                <c:pt idx="64">
                  <c:v>44341</c:v>
                </c:pt>
                <c:pt idx="65">
                  <c:v>44342</c:v>
                </c:pt>
                <c:pt idx="66">
                  <c:v>44343</c:v>
                </c:pt>
                <c:pt idx="67">
                  <c:v>44344</c:v>
                </c:pt>
                <c:pt idx="68">
                  <c:v>44348</c:v>
                </c:pt>
                <c:pt idx="69">
                  <c:v>44349</c:v>
                </c:pt>
                <c:pt idx="70">
                  <c:v>44350</c:v>
                </c:pt>
                <c:pt idx="71">
                  <c:v>44351</c:v>
                </c:pt>
                <c:pt idx="72">
                  <c:v>44354</c:v>
                </c:pt>
                <c:pt idx="73">
                  <c:v>44355</c:v>
                </c:pt>
                <c:pt idx="74">
                  <c:v>44356</c:v>
                </c:pt>
                <c:pt idx="75">
                  <c:v>44357</c:v>
                </c:pt>
                <c:pt idx="76">
                  <c:v>44358</c:v>
                </c:pt>
                <c:pt idx="77">
                  <c:v>44361</c:v>
                </c:pt>
                <c:pt idx="78">
                  <c:v>44362</c:v>
                </c:pt>
                <c:pt idx="79">
                  <c:v>44363</c:v>
                </c:pt>
                <c:pt idx="80">
                  <c:v>44364</c:v>
                </c:pt>
                <c:pt idx="81">
                  <c:v>44365</c:v>
                </c:pt>
                <c:pt idx="82">
                  <c:v>44368</c:v>
                </c:pt>
                <c:pt idx="83">
                  <c:v>44369</c:v>
                </c:pt>
                <c:pt idx="84">
                  <c:v>44370</c:v>
                </c:pt>
                <c:pt idx="85">
                  <c:v>44371</c:v>
                </c:pt>
                <c:pt idx="86">
                  <c:v>44372</c:v>
                </c:pt>
                <c:pt idx="87">
                  <c:v>44375</c:v>
                </c:pt>
                <c:pt idx="88">
                  <c:v>44376</c:v>
                </c:pt>
                <c:pt idx="89">
                  <c:v>44377</c:v>
                </c:pt>
                <c:pt idx="90">
                  <c:v>44378</c:v>
                </c:pt>
                <c:pt idx="91">
                  <c:v>44379</c:v>
                </c:pt>
                <c:pt idx="92">
                  <c:v>44383</c:v>
                </c:pt>
                <c:pt idx="93">
                  <c:v>44384</c:v>
                </c:pt>
                <c:pt idx="94">
                  <c:v>44385</c:v>
                </c:pt>
                <c:pt idx="95">
                  <c:v>44386</c:v>
                </c:pt>
                <c:pt idx="96">
                  <c:v>44389</c:v>
                </c:pt>
                <c:pt idx="97">
                  <c:v>44390</c:v>
                </c:pt>
                <c:pt idx="98">
                  <c:v>44391</c:v>
                </c:pt>
                <c:pt idx="99">
                  <c:v>44392</c:v>
                </c:pt>
                <c:pt idx="100">
                  <c:v>44393</c:v>
                </c:pt>
                <c:pt idx="101">
                  <c:v>44396</c:v>
                </c:pt>
                <c:pt idx="102">
                  <c:v>44397</c:v>
                </c:pt>
                <c:pt idx="103">
                  <c:v>44398</c:v>
                </c:pt>
                <c:pt idx="104">
                  <c:v>44399</c:v>
                </c:pt>
                <c:pt idx="105">
                  <c:v>44400</c:v>
                </c:pt>
                <c:pt idx="106">
                  <c:v>44403</c:v>
                </c:pt>
                <c:pt idx="107">
                  <c:v>44404</c:v>
                </c:pt>
                <c:pt idx="108">
                  <c:v>44405</c:v>
                </c:pt>
                <c:pt idx="109">
                  <c:v>44406</c:v>
                </c:pt>
                <c:pt idx="110">
                  <c:v>44407</c:v>
                </c:pt>
                <c:pt idx="111">
                  <c:v>44410</c:v>
                </c:pt>
                <c:pt idx="112">
                  <c:v>44411</c:v>
                </c:pt>
                <c:pt idx="113">
                  <c:v>44412</c:v>
                </c:pt>
                <c:pt idx="114">
                  <c:v>44413</c:v>
                </c:pt>
                <c:pt idx="115">
                  <c:v>44414</c:v>
                </c:pt>
                <c:pt idx="116">
                  <c:v>44417</c:v>
                </c:pt>
                <c:pt idx="117">
                  <c:v>44418</c:v>
                </c:pt>
                <c:pt idx="118">
                  <c:v>44419</c:v>
                </c:pt>
                <c:pt idx="119">
                  <c:v>44420</c:v>
                </c:pt>
                <c:pt idx="120">
                  <c:v>44421</c:v>
                </c:pt>
                <c:pt idx="121">
                  <c:v>44424</c:v>
                </c:pt>
                <c:pt idx="122">
                  <c:v>44425</c:v>
                </c:pt>
                <c:pt idx="123">
                  <c:v>44426</c:v>
                </c:pt>
                <c:pt idx="124">
                  <c:v>44427</c:v>
                </c:pt>
                <c:pt idx="125">
                  <c:v>44428</c:v>
                </c:pt>
                <c:pt idx="126">
                  <c:v>44431</c:v>
                </c:pt>
                <c:pt idx="127">
                  <c:v>44432</c:v>
                </c:pt>
                <c:pt idx="128">
                  <c:v>44433</c:v>
                </c:pt>
                <c:pt idx="129">
                  <c:v>44434</c:v>
                </c:pt>
                <c:pt idx="130">
                  <c:v>44435</c:v>
                </c:pt>
                <c:pt idx="131">
                  <c:v>44438</c:v>
                </c:pt>
                <c:pt idx="132">
                  <c:v>44439</c:v>
                </c:pt>
                <c:pt idx="133">
                  <c:v>44440</c:v>
                </c:pt>
                <c:pt idx="134">
                  <c:v>44441</c:v>
                </c:pt>
                <c:pt idx="135">
                  <c:v>44442</c:v>
                </c:pt>
                <c:pt idx="136">
                  <c:v>44446</c:v>
                </c:pt>
                <c:pt idx="137">
                  <c:v>44447</c:v>
                </c:pt>
                <c:pt idx="138">
                  <c:v>44448</c:v>
                </c:pt>
                <c:pt idx="139">
                  <c:v>44449</c:v>
                </c:pt>
                <c:pt idx="140">
                  <c:v>44452</c:v>
                </c:pt>
                <c:pt idx="141">
                  <c:v>44453</c:v>
                </c:pt>
                <c:pt idx="142">
                  <c:v>44454</c:v>
                </c:pt>
                <c:pt idx="143">
                  <c:v>44455</c:v>
                </c:pt>
                <c:pt idx="144">
                  <c:v>44456</c:v>
                </c:pt>
                <c:pt idx="145">
                  <c:v>44459</c:v>
                </c:pt>
                <c:pt idx="146">
                  <c:v>44460</c:v>
                </c:pt>
                <c:pt idx="147">
                  <c:v>44461</c:v>
                </c:pt>
                <c:pt idx="148">
                  <c:v>44462</c:v>
                </c:pt>
                <c:pt idx="149">
                  <c:v>44463</c:v>
                </c:pt>
                <c:pt idx="150">
                  <c:v>44466</c:v>
                </c:pt>
                <c:pt idx="151">
                  <c:v>44467</c:v>
                </c:pt>
                <c:pt idx="152">
                  <c:v>44468</c:v>
                </c:pt>
                <c:pt idx="153">
                  <c:v>44469</c:v>
                </c:pt>
                <c:pt idx="154">
                  <c:v>44470</c:v>
                </c:pt>
                <c:pt idx="155">
                  <c:v>44473</c:v>
                </c:pt>
                <c:pt idx="156">
                  <c:v>44474</c:v>
                </c:pt>
                <c:pt idx="157">
                  <c:v>44475</c:v>
                </c:pt>
                <c:pt idx="158">
                  <c:v>44476</c:v>
                </c:pt>
                <c:pt idx="159">
                  <c:v>44477</c:v>
                </c:pt>
                <c:pt idx="160">
                  <c:v>44480</c:v>
                </c:pt>
                <c:pt idx="161">
                  <c:v>44481</c:v>
                </c:pt>
                <c:pt idx="162">
                  <c:v>44482</c:v>
                </c:pt>
                <c:pt idx="163">
                  <c:v>44483</c:v>
                </c:pt>
                <c:pt idx="164">
                  <c:v>44484</c:v>
                </c:pt>
                <c:pt idx="165">
                  <c:v>44487</c:v>
                </c:pt>
                <c:pt idx="166">
                  <c:v>44488</c:v>
                </c:pt>
                <c:pt idx="167">
                  <c:v>44489</c:v>
                </c:pt>
                <c:pt idx="168">
                  <c:v>44490</c:v>
                </c:pt>
                <c:pt idx="169">
                  <c:v>44491</c:v>
                </c:pt>
                <c:pt idx="170">
                  <c:v>44494</c:v>
                </c:pt>
                <c:pt idx="171">
                  <c:v>44495</c:v>
                </c:pt>
                <c:pt idx="172">
                  <c:v>44496</c:v>
                </c:pt>
                <c:pt idx="173">
                  <c:v>44497</c:v>
                </c:pt>
                <c:pt idx="174">
                  <c:v>44498</c:v>
                </c:pt>
                <c:pt idx="175">
                  <c:v>44501</c:v>
                </c:pt>
                <c:pt idx="176">
                  <c:v>44502</c:v>
                </c:pt>
                <c:pt idx="177">
                  <c:v>44503</c:v>
                </c:pt>
                <c:pt idx="178">
                  <c:v>44504</c:v>
                </c:pt>
                <c:pt idx="179">
                  <c:v>44505</c:v>
                </c:pt>
                <c:pt idx="180">
                  <c:v>44508</c:v>
                </c:pt>
                <c:pt idx="181">
                  <c:v>44509</c:v>
                </c:pt>
                <c:pt idx="182">
                  <c:v>44510</c:v>
                </c:pt>
                <c:pt idx="183">
                  <c:v>44511</c:v>
                </c:pt>
                <c:pt idx="184">
                  <c:v>44512</c:v>
                </c:pt>
                <c:pt idx="185">
                  <c:v>44515</c:v>
                </c:pt>
                <c:pt idx="186">
                  <c:v>44516</c:v>
                </c:pt>
                <c:pt idx="187">
                  <c:v>44517</c:v>
                </c:pt>
                <c:pt idx="188">
                  <c:v>44518</c:v>
                </c:pt>
                <c:pt idx="189">
                  <c:v>44519</c:v>
                </c:pt>
                <c:pt idx="190">
                  <c:v>44522</c:v>
                </c:pt>
                <c:pt idx="191">
                  <c:v>44523</c:v>
                </c:pt>
                <c:pt idx="192">
                  <c:v>44524</c:v>
                </c:pt>
                <c:pt idx="193">
                  <c:v>44526</c:v>
                </c:pt>
                <c:pt idx="194">
                  <c:v>44529</c:v>
                </c:pt>
                <c:pt idx="195">
                  <c:v>44530</c:v>
                </c:pt>
                <c:pt idx="196">
                  <c:v>44531</c:v>
                </c:pt>
                <c:pt idx="197">
                  <c:v>44532</c:v>
                </c:pt>
                <c:pt idx="198">
                  <c:v>44533</c:v>
                </c:pt>
                <c:pt idx="199">
                  <c:v>44536</c:v>
                </c:pt>
                <c:pt idx="200">
                  <c:v>44537</c:v>
                </c:pt>
                <c:pt idx="201">
                  <c:v>44538</c:v>
                </c:pt>
                <c:pt idx="202">
                  <c:v>44539</c:v>
                </c:pt>
                <c:pt idx="203">
                  <c:v>44540</c:v>
                </c:pt>
                <c:pt idx="204">
                  <c:v>44543</c:v>
                </c:pt>
                <c:pt idx="205">
                  <c:v>44544</c:v>
                </c:pt>
                <c:pt idx="206">
                  <c:v>44545</c:v>
                </c:pt>
                <c:pt idx="207">
                  <c:v>44546</c:v>
                </c:pt>
                <c:pt idx="208">
                  <c:v>44547</c:v>
                </c:pt>
                <c:pt idx="209">
                  <c:v>44550</c:v>
                </c:pt>
                <c:pt idx="210">
                  <c:v>44551</c:v>
                </c:pt>
                <c:pt idx="211">
                  <c:v>44552</c:v>
                </c:pt>
                <c:pt idx="212">
                  <c:v>44553</c:v>
                </c:pt>
                <c:pt idx="213">
                  <c:v>44557</c:v>
                </c:pt>
                <c:pt idx="214">
                  <c:v>44558</c:v>
                </c:pt>
                <c:pt idx="215">
                  <c:v>44559</c:v>
                </c:pt>
                <c:pt idx="216">
                  <c:v>44560</c:v>
                </c:pt>
                <c:pt idx="217">
                  <c:v>44561</c:v>
                </c:pt>
                <c:pt idx="218">
                  <c:v>44564</c:v>
                </c:pt>
                <c:pt idx="219">
                  <c:v>44565</c:v>
                </c:pt>
                <c:pt idx="220">
                  <c:v>44566</c:v>
                </c:pt>
                <c:pt idx="221">
                  <c:v>44567</c:v>
                </c:pt>
                <c:pt idx="222">
                  <c:v>44568</c:v>
                </c:pt>
                <c:pt idx="223">
                  <c:v>44571</c:v>
                </c:pt>
                <c:pt idx="224">
                  <c:v>44572</c:v>
                </c:pt>
                <c:pt idx="225">
                  <c:v>44573</c:v>
                </c:pt>
                <c:pt idx="226">
                  <c:v>44574</c:v>
                </c:pt>
                <c:pt idx="227">
                  <c:v>44575</c:v>
                </c:pt>
                <c:pt idx="228">
                  <c:v>44579</c:v>
                </c:pt>
                <c:pt idx="229">
                  <c:v>44580</c:v>
                </c:pt>
                <c:pt idx="230">
                  <c:v>44581</c:v>
                </c:pt>
                <c:pt idx="231">
                  <c:v>44582</c:v>
                </c:pt>
                <c:pt idx="232">
                  <c:v>44585</c:v>
                </c:pt>
                <c:pt idx="233">
                  <c:v>44586</c:v>
                </c:pt>
                <c:pt idx="234">
                  <c:v>44587</c:v>
                </c:pt>
                <c:pt idx="235">
                  <c:v>44588</c:v>
                </c:pt>
                <c:pt idx="236">
                  <c:v>44589</c:v>
                </c:pt>
                <c:pt idx="237">
                  <c:v>44592</c:v>
                </c:pt>
                <c:pt idx="238">
                  <c:v>44593</c:v>
                </c:pt>
                <c:pt idx="239">
                  <c:v>44594</c:v>
                </c:pt>
                <c:pt idx="240">
                  <c:v>44595</c:v>
                </c:pt>
                <c:pt idx="241">
                  <c:v>44596</c:v>
                </c:pt>
                <c:pt idx="242">
                  <c:v>44599</c:v>
                </c:pt>
                <c:pt idx="243">
                  <c:v>44600</c:v>
                </c:pt>
                <c:pt idx="244">
                  <c:v>44601</c:v>
                </c:pt>
                <c:pt idx="245">
                  <c:v>44602</c:v>
                </c:pt>
                <c:pt idx="246">
                  <c:v>44603</c:v>
                </c:pt>
                <c:pt idx="247">
                  <c:v>44606</c:v>
                </c:pt>
                <c:pt idx="248">
                  <c:v>44607</c:v>
                </c:pt>
                <c:pt idx="249">
                  <c:v>44608</c:v>
                </c:pt>
                <c:pt idx="250">
                  <c:v>44609</c:v>
                </c:pt>
                <c:pt idx="251">
                  <c:v>44610</c:v>
                </c:pt>
                <c:pt idx="252">
                  <c:v>44614</c:v>
                </c:pt>
                <c:pt idx="253">
                  <c:v>44615</c:v>
                </c:pt>
                <c:pt idx="254">
                  <c:v>44616</c:v>
                </c:pt>
                <c:pt idx="255">
                  <c:v>44617</c:v>
                </c:pt>
                <c:pt idx="256">
                  <c:v>44620</c:v>
                </c:pt>
                <c:pt idx="257">
                  <c:v>44621</c:v>
                </c:pt>
                <c:pt idx="258">
                  <c:v>44622</c:v>
                </c:pt>
                <c:pt idx="259">
                  <c:v>44623</c:v>
                </c:pt>
                <c:pt idx="260">
                  <c:v>44624</c:v>
                </c:pt>
                <c:pt idx="261">
                  <c:v>44627</c:v>
                </c:pt>
                <c:pt idx="262">
                  <c:v>44628</c:v>
                </c:pt>
                <c:pt idx="263">
                  <c:v>44629</c:v>
                </c:pt>
                <c:pt idx="264">
                  <c:v>44630</c:v>
                </c:pt>
                <c:pt idx="265">
                  <c:v>44631</c:v>
                </c:pt>
                <c:pt idx="266">
                  <c:v>44634</c:v>
                </c:pt>
                <c:pt idx="267">
                  <c:v>44635</c:v>
                </c:pt>
                <c:pt idx="268">
                  <c:v>44636</c:v>
                </c:pt>
                <c:pt idx="269">
                  <c:v>44637</c:v>
                </c:pt>
                <c:pt idx="270">
                  <c:v>44638</c:v>
                </c:pt>
                <c:pt idx="271">
                  <c:v>44641</c:v>
                </c:pt>
                <c:pt idx="272">
                  <c:v>44642</c:v>
                </c:pt>
                <c:pt idx="273">
                  <c:v>44643</c:v>
                </c:pt>
                <c:pt idx="274">
                  <c:v>44644</c:v>
                </c:pt>
                <c:pt idx="275">
                  <c:v>44645</c:v>
                </c:pt>
                <c:pt idx="276">
                  <c:v>44648</c:v>
                </c:pt>
                <c:pt idx="277">
                  <c:v>44649</c:v>
                </c:pt>
                <c:pt idx="278">
                  <c:v>44650</c:v>
                </c:pt>
                <c:pt idx="279">
                  <c:v>44651</c:v>
                </c:pt>
                <c:pt idx="280">
                  <c:v>44652</c:v>
                </c:pt>
                <c:pt idx="281">
                  <c:v>44655</c:v>
                </c:pt>
                <c:pt idx="282">
                  <c:v>44656</c:v>
                </c:pt>
                <c:pt idx="283">
                  <c:v>44657</c:v>
                </c:pt>
                <c:pt idx="284">
                  <c:v>44658</c:v>
                </c:pt>
                <c:pt idx="285">
                  <c:v>44659</c:v>
                </c:pt>
                <c:pt idx="286">
                  <c:v>44662</c:v>
                </c:pt>
                <c:pt idx="287">
                  <c:v>44663</c:v>
                </c:pt>
                <c:pt idx="288">
                  <c:v>44664</c:v>
                </c:pt>
                <c:pt idx="289">
                  <c:v>44665</c:v>
                </c:pt>
                <c:pt idx="290">
                  <c:v>44669</c:v>
                </c:pt>
                <c:pt idx="291">
                  <c:v>44670</c:v>
                </c:pt>
                <c:pt idx="292">
                  <c:v>44671</c:v>
                </c:pt>
                <c:pt idx="293">
                  <c:v>44672</c:v>
                </c:pt>
                <c:pt idx="294">
                  <c:v>44673</c:v>
                </c:pt>
                <c:pt idx="295">
                  <c:v>44676</c:v>
                </c:pt>
                <c:pt idx="296">
                  <c:v>44677</c:v>
                </c:pt>
                <c:pt idx="297">
                  <c:v>44678</c:v>
                </c:pt>
                <c:pt idx="298">
                  <c:v>44679</c:v>
                </c:pt>
                <c:pt idx="299">
                  <c:v>44680</c:v>
                </c:pt>
                <c:pt idx="300">
                  <c:v>44683</c:v>
                </c:pt>
                <c:pt idx="301">
                  <c:v>44684</c:v>
                </c:pt>
                <c:pt idx="302">
                  <c:v>44685</c:v>
                </c:pt>
                <c:pt idx="303">
                  <c:v>44686</c:v>
                </c:pt>
                <c:pt idx="304">
                  <c:v>44687</c:v>
                </c:pt>
                <c:pt idx="305">
                  <c:v>44690</c:v>
                </c:pt>
                <c:pt idx="306">
                  <c:v>44691</c:v>
                </c:pt>
                <c:pt idx="307">
                  <c:v>44692</c:v>
                </c:pt>
                <c:pt idx="308">
                  <c:v>44693</c:v>
                </c:pt>
                <c:pt idx="309">
                  <c:v>44694</c:v>
                </c:pt>
                <c:pt idx="310">
                  <c:v>44697</c:v>
                </c:pt>
                <c:pt idx="311">
                  <c:v>44698</c:v>
                </c:pt>
                <c:pt idx="312">
                  <c:v>44699</c:v>
                </c:pt>
                <c:pt idx="313">
                  <c:v>44700</c:v>
                </c:pt>
                <c:pt idx="314">
                  <c:v>44701</c:v>
                </c:pt>
                <c:pt idx="315">
                  <c:v>44704</c:v>
                </c:pt>
                <c:pt idx="316">
                  <c:v>44705</c:v>
                </c:pt>
                <c:pt idx="317">
                  <c:v>44706</c:v>
                </c:pt>
                <c:pt idx="318">
                  <c:v>44707</c:v>
                </c:pt>
                <c:pt idx="319">
                  <c:v>44708</c:v>
                </c:pt>
                <c:pt idx="320">
                  <c:v>44712</c:v>
                </c:pt>
                <c:pt idx="321">
                  <c:v>44713</c:v>
                </c:pt>
                <c:pt idx="322">
                  <c:v>44714</c:v>
                </c:pt>
                <c:pt idx="323">
                  <c:v>44715</c:v>
                </c:pt>
                <c:pt idx="324">
                  <c:v>44718</c:v>
                </c:pt>
                <c:pt idx="325">
                  <c:v>44719</c:v>
                </c:pt>
                <c:pt idx="326">
                  <c:v>44720</c:v>
                </c:pt>
                <c:pt idx="327">
                  <c:v>44721</c:v>
                </c:pt>
                <c:pt idx="328">
                  <c:v>44722</c:v>
                </c:pt>
                <c:pt idx="329">
                  <c:v>44725</c:v>
                </c:pt>
                <c:pt idx="330">
                  <c:v>44726</c:v>
                </c:pt>
                <c:pt idx="331">
                  <c:v>44727</c:v>
                </c:pt>
                <c:pt idx="332">
                  <c:v>44728</c:v>
                </c:pt>
                <c:pt idx="333">
                  <c:v>44729</c:v>
                </c:pt>
                <c:pt idx="334">
                  <c:v>44733</c:v>
                </c:pt>
                <c:pt idx="335">
                  <c:v>44734</c:v>
                </c:pt>
                <c:pt idx="336">
                  <c:v>44735</c:v>
                </c:pt>
                <c:pt idx="337">
                  <c:v>44736</c:v>
                </c:pt>
                <c:pt idx="338">
                  <c:v>44739</c:v>
                </c:pt>
                <c:pt idx="339">
                  <c:v>44740</c:v>
                </c:pt>
                <c:pt idx="340">
                  <c:v>44741</c:v>
                </c:pt>
                <c:pt idx="341">
                  <c:v>44742</c:v>
                </c:pt>
                <c:pt idx="342">
                  <c:v>44743</c:v>
                </c:pt>
                <c:pt idx="343">
                  <c:v>44747</c:v>
                </c:pt>
                <c:pt idx="344">
                  <c:v>44748</c:v>
                </c:pt>
                <c:pt idx="345">
                  <c:v>44749</c:v>
                </c:pt>
                <c:pt idx="346">
                  <c:v>44750</c:v>
                </c:pt>
                <c:pt idx="347">
                  <c:v>44753</c:v>
                </c:pt>
                <c:pt idx="348">
                  <c:v>44754</c:v>
                </c:pt>
                <c:pt idx="349">
                  <c:v>44755</c:v>
                </c:pt>
                <c:pt idx="350">
                  <c:v>44756</c:v>
                </c:pt>
                <c:pt idx="351">
                  <c:v>44757</c:v>
                </c:pt>
                <c:pt idx="352">
                  <c:v>44760</c:v>
                </c:pt>
                <c:pt idx="353">
                  <c:v>44761</c:v>
                </c:pt>
                <c:pt idx="354">
                  <c:v>44762</c:v>
                </c:pt>
                <c:pt idx="355">
                  <c:v>44763</c:v>
                </c:pt>
                <c:pt idx="356">
                  <c:v>44764</c:v>
                </c:pt>
                <c:pt idx="357">
                  <c:v>44767</c:v>
                </c:pt>
                <c:pt idx="358">
                  <c:v>44768</c:v>
                </c:pt>
                <c:pt idx="359">
                  <c:v>44769</c:v>
                </c:pt>
                <c:pt idx="360">
                  <c:v>44770</c:v>
                </c:pt>
                <c:pt idx="361">
                  <c:v>44771</c:v>
                </c:pt>
                <c:pt idx="362">
                  <c:v>44774</c:v>
                </c:pt>
                <c:pt idx="363">
                  <c:v>44775</c:v>
                </c:pt>
                <c:pt idx="364">
                  <c:v>44776</c:v>
                </c:pt>
                <c:pt idx="365">
                  <c:v>44777</c:v>
                </c:pt>
                <c:pt idx="366">
                  <c:v>44778</c:v>
                </c:pt>
                <c:pt idx="367">
                  <c:v>44781</c:v>
                </c:pt>
                <c:pt idx="368">
                  <c:v>44782</c:v>
                </c:pt>
                <c:pt idx="369">
                  <c:v>44783</c:v>
                </c:pt>
                <c:pt idx="370">
                  <c:v>44784</c:v>
                </c:pt>
                <c:pt idx="371">
                  <c:v>44785</c:v>
                </c:pt>
                <c:pt idx="372">
                  <c:v>44788</c:v>
                </c:pt>
                <c:pt idx="373">
                  <c:v>44789</c:v>
                </c:pt>
                <c:pt idx="374">
                  <c:v>44790</c:v>
                </c:pt>
                <c:pt idx="375">
                  <c:v>44791</c:v>
                </c:pt>
                <c:pt idx="376">
                  <c:v>44792</c:v>
                </c:pt>
                <c:pt idx="377">
                  <c:v>44795</c:v>
                </c:pt>
                <c:pt idx="378">
                  <c:v>44796</c:v>
                </c:pt>
                <c:pt idx="379">
                  <c:v>44797</c:v>
                </c:pt>
                <c:pt idx="380">
                  <c:v>44798</c:v>
                </c:pt>
                <c:pt idx="381">
                  <c:v>44799</c:v>
                </c:pt>
                <c:pt idx="382">
                  <c:v>44802</c:v>
                </c:pt>
                <c:pt idx="383">
                  <c:v>44803</c:v>
                </c:pt>
                <c:pt idx="384">
                  <c:v>44804</c:v>
                </c:pt>
                <c:pt idx="385">
                  <c:v>44805</c:v>
                </c:pt>
                <c:pt idx="386">
                  <c:v>44806</c:v>
                </c:pt>
                <c:pt idx="387">
                  <c:v>44810</c:v>
                </c:pt>
                <c:pt idx="388">
                  <c:v>44811</c:v>
                </c:pt>
                <c:pt idx="389">
                  <c:v>44812</c:v>
                </c:pt>
                <c:pt idx="390">
                  <c:v>44813</c:v>
                </c:pt>
                <c:pt idx="391">
                  <c:v>44816</c:v>
                </c:pt>
                <c:pt idx="392">
                  <c:v>44817</c:v>
                </c:pt>
                <c:pt idx="393">
                  <c:v>44818</c:v>
                </c:pt>
                <c:pt idx="394">
                  <c:v>44819</c:v>
                </c:pt>
                <c:pt idx="395">
                  <c:v>44820</c:v>
                </c:pt>
                <c:pt idx="396">
                  <c:v>44823</c:v>
                </c:pt>
                <c:pt idx="397">
                  <c:v>44824</c:v>
                </c:pt>
                <c:pt idx="398">
                  <c:v>44825</c:v>
                </c:pt>
                <c:pt idx="399">
                  <c:v>44826</c:v>
                </c:pt>
                <c:pt idx="400">
                  <c:v>44827</c:v>
                </c:pt>
                <c:pt idx="401">
                  <c:v>44830</c:v>
                </c:pt>
                <c:pt idx="402">
                  <c:v>44831</c:v>
                </c:pt>
                <c:pt idx="403">
                  <c:v>44832</c:v>
                </c:pt>
                <c:pt idx="404">
                  <c:v>44833</c:v>
                </c:pt>
                <c:pt idx="405">
                  <c:v>44834</c:v>
                </c:pt>
                <c:pt idx="406">
                  <c:v>44837</c:v>
                </c:pt>
                <c:pt idx="407">
                  <c:v>44838</c:v>
                </c:pt>
                <c:pt idx="408">
                  <c:v>44839</c:v>
                </c:pt>
                <c:pt idx="409">
                  <c:v>44840</c:v>
                </c:pt>
                <c:pt idx="410">
                  <c:v>44841</c:v>
                </c:pt>
                <c:pt idx="411">
                  <c:v>44844</c:v>
                </c:pt>
                <c:pt idx="412">
                  <c:v>44845</c:v>
                </c:pt>
                <c:pt idx="413">
                  <c:v>44846</c:v>
                </c:pt>
                <c:pt idx="414">
                  <c:v>44847</c:v>
                </c:pt>
                <c:pt idx="415">
                  <c:v>44848</c:v>
                </c:pt>
                <c:pt idx="416">
                  <c:v>44851</c:v>
                </c:pt>
                <c:pt idx="417">
                  <c:v>44852</c:v>
                </c:pt>
                <c:pt idx="418">
                  <c:v>44853</c:v>
                </c:pt>
                <c:pt idx="419">
                  <c:v>44854</c:v>
                </c:pt>
                <c:pt idx="420">
                  <c:v>44855</c:v>
                </c:pt>
                <c:pt idx="421">
                  <c:v>44858</c:v>
                </c:pt>
                <c:pt idx="422">
                  <c:v>44859</c:v>
                </c:pt>
                <c:pt idx="423">
                  <c:v>44860</c:v>
                </c:pt>
                <c:pt idx="424">
                  <c:v>44861</c:v>
                </c:pt>
                <c:pt idx="425">
                  <c:v>44862</c:v>
                </c:pt>
                <c:pt idx="426">
                  <c:v>44865</c:v>
                </c:pt>
                <c:pt idx="427">
                  <c:v>44866</c:v>
                </c:pt>
                <c:pt idx="428">
                  <c:v>44867</c:v>
                </c:pt>
                <c:pt idx="429">
                  <c:v>44868</c:v>
                </c:pt>
                <c:pt idx="430">
                  <c:v>44869</c:v>
                </c:pt>
                <c:pt idx="431">
                  <c:v>44872</c:v>
                </c:pt>
                <c:pt idx="432">
                  <c:v>44873</c:v>
                </c:pt>
                <c:pt idx="433">
                  <c:v>44874</c:v>
                </c:pt>
                <c:pt idx="434">
                  <c:v>44875</c:v>
                </c:pt>
                <c:pt idx="435">
                  <c:v>44876</c:v>
                </c:pt>
                <c:pt idx="436">
                  <c:v>44879</c:v>
                </c:pt>
                <c:pt idx="437">
                  <c:v>44880</c:v>
                </c:pt>
                <c:pt idx="438">
                  <c:v>44881</c:v>
                </c:pt>
                <c:pt idx="439">
                  <c:v>44882</c:v>
                </c:pt>
                <c:pt idx="440">
                  <c:v>44883</c:v>
                </c:pt>
                <c:pt idx="441">
                  <c:v>44886</c:v>
                </c:pt>
                <c:pt idx="442">
                  <c:v>44887</c:v>
                </c:pt>
                <c:pt idx="443">
                  <c:v>44888</c:v>
                </c:pt>
                <c:pt idx="444">
                  <c:v>44890</c:v>
                </c:pt>
                <c:pt idx="445">
                  <c:v>44893</c:v>
                </c:pt>
                <c:pt idx="446">
                  <c:v>44894</c:v>
                </c:pt>
                <c:pt idx="447">
                  <c:v>44895</c:v>
                </c:pt>
                <c:pt idx="448">
                  <c:v>44896</c:v>
                </c:pt>
                <c:pt idx="449">
                  <c:v>44897</c:v>
                </c:pt>
                <c:pt idx="450">
                  <c:v>44900</c:v>
                </c:pt>
                <c:pt idx="451">
                  <c:v>44901</c:v>
                </c:pt>
                <c:pt idx="452">
                  <c:v>44902</c:v>
                </c:pt>
                <c:pt idx="453">
                  <c:v>44903</c:v>
                </c:pt>
                <c:pt idx="454">
                  <c:v>44904</c:v>
                </c:pt>
                <c:pt idx="455">
                  <c:v>44907</c:v>
                </c:pt>
                <c:pt idx="456">
                  <c:v>44908</c:v>
                </c:pt>
                <c:pt idx="457">
                  <c:v>44909</c:v>
                </c:pt>
                <c:pt idx="458">
                  <c:v>44910</c:v>
                </c:pt>
                <c:pt idx="459">
                  <c:v>44911</c:v>
                </c:pt>
                <c:pt idx="460">
                  <c:v>44914</c:v>
                </c:pt>
                <c:pt idx="461">
                  <c:v>44915</c:v>
                </c:pt>
                <c:pt idx="462">
                  <c:v>44916</c:v>
                </c:pt>
                <c:pt idx="463">
                  <c:v>44917</c:v>
                </c:pt>
                <c:pt idx="464">
                  <c:v>44918</c:v>
                </c:pt>
                <c:pt idx="465">
                  <c:v>44922</c:v>
                </c:pt>
                <c:pt idx="466">
                  <c:v>44923</c:v>
                </c:pt>
                <c:pt idx="467">
                  <c:v>44924</c:v>
                </c:pt>
                <c:pt idx="468">
                  <c:v>44925</c:v>
                </c:pt>
                <c:pt idx="469">
                  <c:v>44929</c:v>
                </c:pt>
                <c:pt idx="470">
                  <c:v>44930</c:v>
                </c:pt>
                <c:pt idx="471">
                  <c:v>44931</c:v>
                </c:pt>
                <c:pt idx="472">
                  <c:v>44932</c:v>
                </c:pt>
                <c:pt idx="473">
                  <c:v>44935</c:v>
                </c:pt>
                <c:pt idx="474">
                  <c:v>44936</c:v>
                </c:pt>
                <c:pt idx="475">
                  <c:v>44937</c:v>
                </c:pt>
                <c:pt idx="476">
                  <c:v>44938</c:v>
                </c:pt>
                <c:pt idx="477">
                  <c:v>44939</c:v>
                </c:pt>
                <c:pt idx="478">
                  <c:v>44943</c:v>
                </c:pt>
                <c:pt idx="479">
                  <c:v>44944</c:v>
                </c:pt>
                <c:pt idx="480">
                  <c:v>44945</c:v>
                </c:pt>
                <c:pt idx="481">
                  <c:v>44946</c:v>
                </c:pt>
                <c:pt idx="482">
                  <c:v>44949</c:v>
                </c:pt>
                <c:pt idx="483">
                  <c:v>44950</c:v>
                </c:pt>
                <c:pt idx="484">
                  <c:v>44951</c:v>
                </c:pt>
                <c:pt idx="485">
                  <c:v>44952</c:v>
                </c:pt>
                <c:pt idx="486">
                  <c:v>44953</c:v>
                </c:pt>
                <c:pt idx="487">
                  <c:v>44956</c:v>
                </c:pt>
                <c:pt idx="488">
                  <c:v>44957</c:v>
                </c:pt>
                <c:pt idx="489">
                  <c:v>44958</c:v>
                </c:pt>
                <c:pt idx="490">
                  <c:v>44959</c:v>
                </c:pt>
                <c:pt idx="491">
                  <c:v>44960</c:v>
                </c:pt>
                <c:pt idx="492">
                  <c:v>44963</c:v>
                </c:pt>
                <c:pt idx="493">
                  <c:v>44964</c:v>
                </c:pt>
                <c:pt idx="494">
                  <c:v>44965</c:v>
                </c:pt>
                <c:pt idx="495">
                  <c:v>44966</c:v>
                </c:pt>
                <c:pt idx="496">
                  <c:v>44967</c:v>
                </c:pt>
                <c:pt idx="497">
                  <c:v>44970</c:v>
                </c:pt>
                <c:pt idx="498">
                  <c:v>44971</c:v>
                </c:pt>
                <c:pt idx="499">
                  <c:v>44972</c:v>
                </c:pt>
                <c:pt idx="500">
                  <c:v>44973</c:v>
                </c:pt>
                <c:pt idx="501">
                  <c:v>44974</c:v>
                </c:pt>
                <c:pt idx="502">
                  <c:v>44978</c:v>
                </c:pt>
                <c:pt idx="503">
                  <c:v>44979</c:v>
                </c:pt>
                <c:pt idx="504">
                  <c:v>44980</c:v>
                </c:pt>
                <c:pt idx="505">
                  <c:v>44981</c:v>
                </c:pt>
                <c:pt idx="506">
                  <c:v>44984</c:v>
                </c:pt>
                <c:pt idx="507">
                  <c:v>44985</c:v>
                </c:pt>
                <c:pt idx="508">
                  <c:v>44986</c:v>
                </c:pt>
                <c:pt idx="509">
                  <c:v>44987</c:v>
                </c:pt>
                <c:pt idx="510">
                  <c:v>44988</c:v>
                </c:pt>
                <c:pt idx="511">
                  <c:v>44991</c:v>
                </c:pt>
                <c:pt idx="512">
                  <c:v>44992</c:v>
                </c:pt>
                <c:pt idx="513">
                  <c:v>44993</c:v>
                </c:pt>
                <c:pt idx="514">
                  <c:v>44994</c:v>
                </c:pt>
                <c:pt idx="515">
                  <c:v>44995</c:v>
                </c:pt>
                <c:pt idx="516">
                  <c:v>44998</c:v>
                </c:pt>
                <c:pt idx="517">
                  <c:v>44999</c:v>
                </c:pt>
                <c:pt idx="518">
                  <c:v>45000</c:v>
                </c:pt>
                <c:pt idx="519">
                  <c:v>45001</c:v>
                </c:pt>
                <c:pt idx="520">
                  <c:v>45002</c:v>
                </c:pt>
                <c:pt idx="521">
                  <c:v>45005</c:v>
                </c:pt>
                <c:pt idx="522">
                  <c:v>45006</c:v>
                </c:pt>
                <c:pt idx="523">
                  <c:v>45007</c:v>
                </c:pt>
                <c:pt idx="524">
                  <c:v>45008</c:v>
                </c:pt>
                <c:pt idx="525">
                  <c:v>45009</c:v>
                </c:pt>
                <c:pt idx="526">
                  <c:v>45012</c:v>
                </c:pt>
                <c:pt idx="527">
                  <c:v>45013</c:v>
                </c:pt>
                <c:pt idx="528">
                  <c:v>45014</c:v>
                </c:pt>
                <c:pt idx="529">
                  <c:v>45015</c:v>
                </c:pt>
                <c:pt idx="530">
                  <c:v>45016</c:v>
                </c:pt>
                <c:pt idx="531">
                  <c:v>45019</c:v>
                </c:pt>
                <c:pt idx="532">
                  <c:v>45020</c:v>
                </c:pt>
                <c:pt idx="533">
                  <c:v>45021</c:v>
                </c:pt>
                <c:pt idx="534">
                  <c:v>45022</c:v>
                </c:pt>
                <c:pt idx="535">
                  <c:v>45026</c:v>
                </c:pt>
                <c:pt idx="536">
                  <c:v>45027</c:v>
                </c:pt>
                <c:pt idx="537">
                  <c:v>45028</c:v>
                </c:pt>
                <c:pt idx="538">
                  <c:v>45029</c:v>
                </c:pt>
                <c:pt idx="539">
                  <c:v>45030</c:v>
                </c:pt>
                <c:pt idx="540">
                  <c:v>45033</c:v>
                </c:pt>
                <c:pt idx="541">
                  <c:v>45034</c:v>
                </c:pt>
                <c:pt idx="542">
                  <c:v>45035</c:v>
                </c:pt>
                <c:pt idx="543">
                  <c:v>45036</c:v>
                </c:pt>
                <c:pt idx="544">
                  <c:v>45037</c:v>
                </c:pt>
                <c:pt idx="545">
                  <c:v>45040</c:v>
                </c:pt>
                <c:pt idx="546">
                  <c:v>45041</c:v>
                </c:pt>
                <c:pt idx="547">
                  <c:v>45042</c:v>
                </c:pt>
                <c:pt idx="548">
                  <c:v>45043</c:v>
                </c:pt>
                <c:pt idx="549">
                  <c:v>45044</c:v>
                </c:pt>
                <c:pt idx="550">
                  <c:v>45047</c:v>
                </c:pt>
                <c:pt idx="551">
                  <c:v>45048</c:v>
                </c:pt>
                <c:pt idx="552">
                  <c:v>45049</c:v>
                </c:pt>
                <c:pt idx="553">
                  <c:v>45050</c:v>
                </c:pt>
                <c:pt idx="554">
                  <c:v>45051</c:v>
                </c:pt>
                <c:pt idx="555">
                  <c:v>45054</c:v>
                </c:pt>
                <c:pt idx="556">
                  <c:v>45055</c:v>
                </c:pt>
                <c:pt idx="557">
                  <c:v>45056</c:v>
                </c:pt>
                <c:pt idx="558">
                  <c:v>45057</c:v>
                </c:pt>
                <c:pt idx="559">
                  <c:v>45058</c:v>
                </c:pt>
                <c:pt idx="560">
                  <c:v>45061</c:v>
                </c:pt>
                <c:pt idx="561">
                  <c:v>45062</c:v>
                </c:pt>
                <c:pt idx="562">
                  <c:v>45063</c:v>
                </c:pt>
                <c:pt idx="563">
                  <c:v>45064</c:v>
                </c:pt>
                <c:pt idx="564">
                  <c:v>45065</c:v>
                </c:pt>
                <c:pt idx="565">
                  <c:v>45068</c:v>
                </c:pt>
                <c:pt idx="566">
                  <c:v>45069</c:v>
                </c:pt>
                <c:pt idx="567">
                  <c:v>45070</c:v>
                </c:pt>
                <c:pt idx="568">
                  <c:v>45071</c:v>
                </c:pt>
                <c:pt idx="569">
                  <c:v>45072</c:v>
                </c:pt>
                <c:pt idx="570">
                  <c:v>45076</c:v>
                </c:pt>
                <c:pt idx="571">
                  <c:v>45077</c:v>
                </c:pt>
                <c:pt idx="572">
                  <c:v>45078</c:v>
                </c:pt>
                <c:pt idx="573">
                  <c:v>45079</c:v>
                </c:pt>
                <c:pt idx="574">
                  <c:v>45082</c:v>
                </c:pt>
                <c:pt idx="575">
                  <c:v>45083</c:v>
                </c:pt>
                <c:pt idx="576">
                  <c:v>45084</c:v>
                </c:pt>
                <c:pt idx="577">
                  <c:v>45085</c:v>
                </c:pt>
                <c:pt idx="578">
                  <c:v>45086</c:v>
                </c:pt>
                <c:pt idx="579">
                  <c:v>45089</c:v>
                </c:pt>
                <c:pt idx="580">
                  <c:v>45090</c:v>
                </c:pt>
                <c:pt idx="581">
                  <c:v>45091</c:v>
                </c:pt>
                <c:pt idx="582">
                  <c:v>45092</c:v>
                </c:pt>
                <c:pt idx="583">
                  <c:v>45093</c:v>
                </c:pt>
                <c:pt idx="584">
                  <c:v>45097</c:v>
                </c:pt>
                <c:pt idx="585">
                  <c:v>45098</c:v>
                </c:pt>
                <c:pt idx="586">
                  <c:v>45099</c:v>
                </c:pt>
                <c:pt idx="587">
                  <c:v>45100</c:v>
                </c:pt>
                <c:pt idx="588">
                  <c:v>45103</c:v>
                </c:pt>
                <c:pt idx="589">
                  <c:v>45104</c:v>
                </c:pt>
                <c:pt idx="590">
                  <c:v>45105</c:v>
                </c:pt>
                <c:pt idx="591">
                  <c:v>45106</c:v>
                </c:pt>
                <c:pt idx="592">
                  <c:v>45107</c:v>
                </c:pt>
                <c:pt idx="593">
                  <c:v>45110</c:v>
                </c:pt>
                <c:pt idx="594">
                  <c:v>45112</c:v>
                </c:pt>
                <c:pt idx="595">
                  <c:v>45113</c:v>
                </c:pt>
                <c:pt idx="596">
                  <c:v>45114</c:v>
                </c:pt>
                <c:pt idx="597">
                  <c:v>45117</c:v>
                </c:pt>
                <c:pt idx="598">
                  <c:v>45118</c:v>
                </c:pt>
                <c:pt idx="599">
                  <c:v>45119</c:v>
                </c:pt>
                <c:pt idx="600">
                  <c:v>45120</c:v>
                </c:pt>
                <c:pt idx="601">
                  <c:v>45121</c:v>
                </c:pt>
                <c:pt idx="602">
                  <c:v>45124</c:v>
                </c:pt>
                <c:pt idx="603">
                  <c:v>45125</c:v>
                </c:pt>
                <c:pt idx="604">
                  <c:v>45126</c:v>
                </c:pt>
                <c:pt idx="605">
                  <c:v>45127</c:v>
                </c:pt>
                <c:pt idx="606">
                  <c:v>45128</c:v>
                </c:pt>
                <c:pt idx="607">
                  <c:v>45131</c:v>
                </c:pt>
                <c:pt idx="608">
                  <c:v>45132</c:v>
                </c:pt>
                <c:pt idx="609">
                  <c:v>45133</c:v>
                </c:pt>
                <c:pt idx="610">
                  <c:v>45134</c:v>
                </c:pt>
                <c:pt idx="611">
                  <c:v>45135</c:v>
                </c:pt>
                <c:pt idx="612">
                  <c:v>45138</c:v>
                </c:pt>
                <c:pt idx="613">
                  <c:v>45139</c:v>
                </c:pt>
                <c:pt idx="614">
                  <c:v>45140</c:v>
                </c:pt>
                <c:pt idx="615">
                  <c:v>45141</c:v>
                </c:pt>
                <c:pt idx="616">
                  <c:v>45142</c:v>
                </c:pt>
                <c:pt idx="617">
                  <c:v>45145</c:v>
                </c:pt>
                <c:pt idx="618">
                  <c:v>45146</c:v>
                </c:pt>
                <c:pt idx="619">
                  <c:v>45147</c:v>
                </c:pt>
                <c:pt idx="620">
                  <c:v>45148</c:v>
                </c:pt>
                <c:pt idx="621">
                  <c:v>45149</c:v>
                </c:pt>
                <c:pt idx="622">
                  <c:v>45152</c:v>
                </c:pt>
                <c:pt idx="623">
                  <c:v>45153</c:v>
                </c:pt>
                <c:pt idx="624">
                  <c:v>45154</c:v>
                </c:pt>
                <c:pt idx="625">
                  <c:v>45155</c:v>
                </c:pt>
                <c:pt idx="626">
                  <c:v>45156</c:v>
                </c:pt>
                <c:pt idx="627">
                  <c:v>45159</c:v>
                </c:pt>
                <c:pt idx="628">
                  <c:v>45160</c:v>
                </c:pt>
                <c:pt idx="629">
                  <c:v>45161</c:v>
                </c:pt>
                <c:pt idx="630">
                  <c:v>45162</c:v>
                </c:pt>
                <c:pt idx="631">
                  <c:v>45163</c:v>
                </c:pt>
                <c:pt idx="632">
                  <c:v>45166</c:v>
                </c:pt>
                <c:pt idx="633">
                  <c:v>45167</c:v>
                </c:pt>
                <c:pt idx="634">
                  <c:v>45168</c:v>
                </c:pt>
                <c:pt idx="635">
                  <c:v>45169</c:v>
                </c:pt>
                <c:pt idx="636">
                  <c:v>45170</c:v>
                </c:pt>
                <c:pt idx="637">
                  <c:v>45174</c:v>
                </c:pt>
                <c:pt idx="638">
                  <c:v>45175</c:v>
                </c:pt>
                <c:pt idx="639">
                  <c:v>45176</c:v>
                </c:pt>
                <c:pt idx="640">
                  <c:v>45177</c:v>
                </c:pt>
                <c:pt idx="641">
                  <c:v>45180</c:v>
                </c:pt>
                <c:pt idx="642">
                  <c:v>45181</c:v>
                </c:pt>
                <c:pt idx="643">
                  <c:v>45182</c:v>
                </c:pt>
                <c:pt idx="644">
                  <c:v>45183</c:v>
                </c:pt>
                <c:pt idx="645">
                  <c:v>45184</c:v>
                </c:pt>
                <c:pt idx="646">
                  <c:v>45187</c:v>
                </c:pt>
                <c:pt idx="647">
                  <c:v>45188</c:v>
                </c:pt>
                <c:pt idx="648">
                  <c:v>45189</c:v>
                </c:pt>
                <c:pt idx="649">
                  <c:v>45190</c:v>
                </c:pt>
                <c:pt idx="650">
                  <c:v>45191</c:v>
                </c:pt>
                <c:pt idx="651">
                  <c:v>45194</c:v>
                </c:pt>
                <c:pt idx="652">
                  <c:v>45195</c:v>
                </c:pt>
                <c:pt idx="653">
                  <c:v>45196</c:v>
                </c:pt>
                <c:pt idx="654">
                  <c:v>45197</c:v>
                </c:pt>
                <c:pt idx="655">
                  <c:v>45198</c:v>
                </c:pt>
                <c:pt idx="656">
                  <c:v>45201</c:v>
                </c:pt>
                <c:pt idx="657">
                  <c:v>45202</c:v>
                </c:pt>
                <c:pt idx="658">
                  <c:v>45203</c:v>
                </c:pt>
                <c:pt idx="659">
                  <c:v>45204</c:v>
                </c:pt>
                <c:pt idx="660">
                  <c:v>45205</c:v>
                </c:pt>
                <c:pt idx="661">
                  <c:v>45208</c:v>
                </c:pt>
                <c:pt idx="662">
                  <c:v>45209</c:v>
                </c:pt>
                <c:pt idx="663">
                  <c:v>45210</c:v>
                </c:pt>
                <c:pt idx="664">
                  <c:v>45211</c:v>
                </c:pt>
                <c:pt idx="665">
                  <c:v>45212</c:v>
                </c:pt>
                <c:pt idx="666">
                  <c:v>45215</c:v>
                </c:pt>
                <c:pt idx="667">
                  <c:v>45216</c:v>
                </c:pt>
                <c:pt idx="668">
                  <c:v>45217</c:v>
                </c:pt>
                <c:pt idx="669">
                  <c:v>45218</c:v>
                </c:pt>
                <c:pt idx="670">
                  <c:v>45219</c:v>
                </c:pt>
                <c:pt idx="671">
                  <c:v>45222</c:v>
                </c:pt>
                <c:pt idx="672">
                  <c:v>45223</c:v>
                </c:pt>
                <c:pt idx="673">
                  <c:v>45224</c:v>
                </c:pt>
                <c:pt idx="674">
                  <c:v>45225</c:v>
                </c:pt>
                <c:pt idx="675">
                  <c:v>45226</c:v>
                </c:pt>
                <c:pt idx="676">
                  <c:v>45229</c:v>
                </c:pt>
                <c:pt idx="677">
                  <c:v>45230</c:v>
                </c:pt>
                <c:pt idx="678">
                  <c:v>45231</c:v>
                </c:pt>
                <c:pt idx="679">
                  <c:v>45232</c:v>
                </c:pt>
                <c:pt idx="680">
                  <c:v>45233</c:v>
                </c:pt>
                <c:pt idx="681">
                  <c:v>45236</c:v>
                </c:pt>
                <c:pt idx="682">
                  <c:v>45237</c:v>
                </c:pt>
                <c:pt idx="683">
                  <c:v>45238</c:v>
                </c:pt>
                <c:pt idx="684">
                  <c:v>45239</c:v>
                </c:pt>
                <c:pt idx="685">
                  <c:v>45240</c:v>
                </c:pt>
                <c:pt idx="686">
                  <c:v>45243</c:v>
                </c:pt>
                <c:pt idx="687">
                  <c:v>45244</c:v>
                </c:pt>
                <c:pt idx="688">
                  <c:v>45245</c:v>
                </c:pt>
                <c:pt idx="689">
                  <c:v>45246</c:v>
                </c:pt>
                <c:pt idx="690">
                  <c:v>45247</c:v>
                </c:pt>
                <c:pt idx="691">
                  <c:v>45250</c:v>
                </c:pt>
                <c:pt idx="692">
                  <c:v>45251</c:v>
                </c:pt>
                <c:pt idx="693">
                  <c:v>45252</c:v>
                </c:pt>
                <c:pt idx="694">
                  <c:v>45254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45264</c:v>
                </c:pt>
                <c:pt idx="701">
                  <c:v>45265</c:v>
                </c:pt>
                <c:pt idx="702">
                  <c:v>45266</c:v>
                </c:pt>
                <c:pt idx="703">
                  <c:v>45267</c:v>
                </c:pt>
                <c:pt idx="704">
                  <c:v>45268</c:v>
                </c:pt>
                <c:pt idx="705">
                  <c:v>45271</c:v>
                </c:pt>
                <c:pt idx="706">
                  <c:v>45272</c:v>
                </c:pt>
                <c:pt idx="707">
                  <c:v>45273</c:v>
                </c:pt>
                <c:pt idx="708">
                  <c:v>45274</c:v>
                </c:pt>
                <c:pt idx="709">
                  <c:v>45275</c:v>
                </c:pt>
                <c:pt idx="710">
                  <c:v>45278</c:v>
                </c:pt>
                <c:pt idx="711">
                  <c:v>45279</c:v>
                </c:pt>
                <c:pt idx="712">
                  <c:v>45280</c:v>
                </c:pt>
                <c:pt idx="713">
                  <c:v>45281</c:v>
                </c:pt>
                <c:pt idx="714">
                  <c:v>45282</c:v>
                </c:pt>
                <c:pt idx="715">
                  <c:v>45286</c:v>
                </c:pt>
                <c:pt idx="716">
                  <c:v>45287</c:v>
                </c:pt>
                <c:pt idx="717">
                  <c:v>45288</c:v>
                </c:pt>
                <c:pt idx="718">
                  <c:v>45289</c:v>
                </c:pt>
                <c:pt idx="719">
                  <c:v>45293</c:v>
                </c:pt>
                <c:pt idx="720">
                  <c:v>45294</c:v>
                </c:pt>
                <c:pt idx="721">
                  <c:v>45295</c:v>
                </c:pt>
                <c:pt idx="722">
                  <c:v>45296</c:v>
                </c:pt>
                <c:pt idx="723">
                  <c:v>45299</c:v>
                </c:pt>
                <c:pt idx="724">
                  <c:v>45300</c:v>
                </c:pt>
                <c:pt idx="725">
                  <c:v>45301</c:v>
                </c:pt>
                <c:pt idx="726">
                  <c:v>45302</c:v>
                </c:pt>
                <c:pt idx="727">
                  <c:v>45303</c:v>
                </c:pt>
                <c:pt idx="728">
                  <c:v>45307</c:v>
                </c:pt>
                <c:pt idx="729">
                  <c:v>45308</c:v>
                </c:pt>
                <c:pt idx="730">
                  <c:v>45309</c:v>
                </c:pt>
                <c:pt idx="731">
                  <c:v>45310</c:v>
                </c:pt>
                <c:pt idx="732">
                  <c:v>45313</c:v>
                </c:pt>
                <c:pt idx="733">
                  <c:v>45314</c:v>
                </c:pt>
                <c:pt idx="734">
                  <c:v>45315</c:v>
                </c:pt>
                <c:pt idx="735">
                  <c:v>45316</c:v>
                </c:pt>
                <c:pt idx="736">
                  <c:v>45317</c:v>
                </c:pt>
                <c:pt idx="737">
                  <c:v>45320</c:v>
                </c:pt>
                <c:pt idx="738">
                  <c:v>45321</c:v>
                </c:pt>
                <c:pt idx="739">
                  <c:v>45322</c:v>
                </c:pt>
                <c:pt idx="740">
                  <c:v>45323</c:v>
                </c:pt>
                <c:pt idx="741">
                  <c:v>45324</c:v>
                </c:pt>
                <c:pt idx="742">
                  <c:v>45327</c:v>
                </c:pt>
                <c:pt idx="743">
                  <c:v>45328</c:v>
                </c:pt>
                <c:pt idx="744">
                  <c:v>45329</c:v>
                </c:pt>
                <c:pt idx="745">
                  <c:v>45330</c:v>
                </c:pt>
                <c:pt idx="746">
                  <c:v>45331</c:v>
                </c:pt>
                <c:pt idx="747">
                  <c:v>45334</c:v>
                </c:pt>
                <c:pt idx="748">
                  <c:v>45335</c:v>
                </c:pt>
                <c:pt idx="749">
                  <c:v>45336</c:v>
                </c:pt>
                <c:pt idx="750">
                  <c:v>45337</c:v>
                </c:pt>
                <c:pt idx="751">
                  <c:v>45338</c:v>
                </c:pt>
                <c:pt idx="752">
                  <c:v>45342</c:v>
                </c:pt>
                <c:pt idx="753">
                  <c:v>45343</c:v>
                </c:pt>
                <c:pt idx="754">
                  <c:v>45344</c:v>
                </c:pt>
                <c:pt idx="755">
                  <c:v>45345</c:v>
                </c:pt>
                <c:pt idx="756">
                  <c:v>45348</c:v>
                </c:pt>
                <c:pt idx="757">
                  <c:v>45349</c:v>
                </c:pt>
                <c:pt idx="758">
                  <c:v>45350</c:v>
                </c:pt>
                <c:pt idx="759">
                  <c:v>45351</c:v>
                </c:pt>
                <c:pt idx="760">
                  <c:v>45352</c:v>
                </c:pt>
                <c:pt idx="761">
                  <c:v>45355</c:v>
                </c:pt>
                <c:pt idx="762">
                  <c:v>45356</c:v>
                </c:pt>
                <c:pt idx="763">
                  <c:v>45357</c:v>
                </c:pt>
                <c:pt idx="764">
                  <c:v>45358</c:v>
                </c:pt>
                <c:pt idx="765">
                  <c:v>45359</c:v>
                </c:pt>
                <c:pt idx="766">
                  <c:v>45362</c:v>
                </c:pt>
                <c:pt idx="767">
                  <c:v>45363</c:v>
                </c:pt>
                <c:pt idx="768">
                  <c:v>45364</c:v>
                </c:pt>
                <c:pt idx="769">
                  <c:v>45365</c:v>
                </c:pt>
                <c:pt idx="770">
                  <c:v>45366</c:v>
                </c:pt>
                <c:pt idx="771">
                  <c:v>45369</c:v>
                </c:pt>
                <c:pt idx="772">
                  <c:v>45370</c:v>
                </c:pt>
                <c:pt idx="773">
                  <c:v>45371</c:v>
                </c:pt>
                <c:pt idx="774">
                  <c:v>45372</c:v>
                </c:pt>
                <c:pt idx="775">
                  <c:v>45373</c:v>
                </c:pt>
                <c:pt idx="776">
                  <c:v>45376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45393</c:v>
                </c:pt>
                <c:pt idx="789">
                  <c:v>45394</c:v>
                </c:pt>
                <c:pt idx="790">
                  <c:v>45397</c:v>
                </c:pt>
                <c:pt idx="791">
                  <c:v>45398</c:v>
                </c:pt>
                <c:pt idx="792">
                  <c:v>45399</c:v>
                </c:pt>
                <c:pt idx="793">
                  <c:v>45400</c:v>
                </c:pt>
                <c:pt idx="794">
                  <c:v>45401</c:v>
                </c:pt>
                <c:pt idx="795">
                  <c:v>45404</c:v>
                </c:pt>
                <c:pt idx="796">
                  <c:v>45405</c:v>
                </c:pt>
                <c:pt idx="797">
                  <c:v>45406</c:v>
                </c:pt>
                <c:pt idx="798">
                  <c:v>45407</c:v>
                </c:pt>
                <c:pt idx="799">
                  <c:v>45408</c:v>
                </c:pt>
                <c:pt idx="800">
                  <c:v>45411</c:v>
                </c:pt>
                <c:pt idx="801">
                  <c:v>45412</c:v>
                </c:pt>
                <c:pt idx="802">
                  <c:v>45413</c:v>
                </c:pt>
                <c:pt idx="803">
                  <c:v>45414</c:v>
                </c:pt>
                <c:pt idx="804">
                  <c:v>45415</c:v>
                </c:pt>
                <c:pt idx="805">
                  <c:v>45418</c:v>
                </c:pt>
                <c:pt idx="806">
                  <c:v>45419</c:v>
                </c:pt>
                <c:pt idx="807">
                  <c:v>45420</c:v>
                </c:pt>
                <c:pt idx="808">
                  <c:v>45421</c:v>
                </c:pt>
                <c:pt idx="809">
                  <c:v>45422</c:v>
                </c:pt>
                <c:pt idx="810">
                  <c:v>45425</c:v>
                </c:pt>
                <c:pt idx="811">
                  <c:v>45426</c:v>
                </c:pt>
                <c:pt idx="812">
                  <c:v>45427</c:v>
                </c:pt>
                <c:pt idx="813">
                  <c:v>45428</c:v>
                </c:pt>
                <c:pt idx="814">
                  <c:v>45429</c:v>
                </c:pt>
                <c:pt idx="815">
                  <c:v>45432</c:v>
                </c:pt>
                <c:pt idx="816">
                  <c:v>45433</c:v>
                </c:pt>
                <c:pt idx="817">
                  <c:v>45434</c:v>
                </c:pt>
                <c:pt idx="818">
                  <c:v>45435</c:v>
                </c:pt>
                <c:pt idx="819">
                  <c:v>45436</c:v>
                </c:pt>
                <c:pt idx="820">
                  <c:v>45440</c:v>
                </c:pt>
                <c:pt idx="821">
                  <c:v>45441</c:v>
                </c:pt>
                <c:pt idx="822">
                  <c:v>45442</c:v>
                </c:pt>
                <c:pt idx="823">
                  <c:v>45443</c:v>
                </c:pt>
                <c:pt idx="824">
                  <c:v>45446</c:v>
                </c:pt>
                <c:pt idx="825">
                  <c:v>45447</c:v>
                </c:pt>
                <c:pt idx="826">
                  <c:v>45448</c:v>
                </c:pt>
                <c:pt idx="827">
                  <c:v>45449</c:v>
                </c:pt>
                <c:pt idx="828">
                  <c:v>45450</c:v>
                </c:pt>
                <c:pt idx="829">
                  <c:v>45453</c:v>
                </c:pt>
                <c:pt idx="830">
                  <c:v>45454</c:v>
                </c:pt>
                <c:pt idx="831">
                  <c:v>45455</c:v>
                </c:pt>
                <c:pt idx="832">
                  <c:v>45456</c:v>
                </c:pt>
                <c:pt idx="833">
                  <c:v>45457</c:v>
                </c:pt>
                <c:pt idx="834">
                  <c:v>45460</c:v>
                </c:pt>
                <c:pt idx="835">
                  <c:v>45461</c:v>
                </c:pt>
                <c:pt idx="836">
                  <c:v>45463</c:v>
                </c:pt>
                <c:pt idx="837">
                  <c:v>45464</c:v>
                </c:pt>
                <c:pt idx="838">
                  <c:v>45467</c:v>
                </c:pt>
                <c:pt idx="839">
                  <c:v>45468</c:v>
                </c:pt>
                <c:pt idx="840">
                  <c:v>45469</c:v>
                </c:pt>
                <c:pt idx="841">
                  <c:v>45470</c:v>
                </c:pt>
                <c:pt idx="842">
                  <c:v>45471</c:v>
                </c:pt>
                <c:pt idx="843">
                  <c:v>45474</c:v>
                </c:pt>
                <c:pt idx="844">
                  <c:v>45475</c:v>
                </c:pt>
                <c:pt idx="845">
                  <c:v>45476</c:v>
                </c:pt>
                <c:pt idx="846">
                  <c:v>45478</c:v>
                </c:pt>
                <c:pt idx="847">
                  <c:v>45481</c:v>
                </c:pt>
                <c:pt idx="848">
                  <c:v>45482</c:v>
                </c:pt>
                <c:pt idx="849">
                  <c:v>45483</c:v>
                </c:pt>
                <c:pt idx="850">
                  <c:v>45484</c:v>
                </c:pt>
                <c:pt idx="851">
                  <c:v>45485</c:v>
                </c:pt>
                <c:pt idx="852">
                  <c:v>45488</c:v>
                </c:pt>
                <c:pt idx="853">
                  <c:v>45489</c:v>
                </c:pt>
                <c:pt idx="854">
                  <c:v>45490</c:v>
                </c:pt>
                <c:pt idx="855">
                  <c:v>45491</c:v>
                </c:pt>
                <c:pt idx="856">
                  <c:v>45492</c:v>
                </c:pt>
                <c:pt idx="857">
                  <c:v>45495</c:v>
                </c:pt>
                <c:pt idx="858">
                  <c:v>45496</c:v>
                </c:pt>
                <c:pt idx="859">
                  <c:v>45497</c:v>
                </c:pt>
                <c:pt idx="860">
                  <c:v>45498</c:v>
                </c:pt>
                <c:pt idx="861">
                  <c:v>45499</c:v>
                </c:pt>
                <c:pt idx="862">
                  <c:v>45502</c:v>
                </c:pt>
                <c:pt idx="863">
                  <c:v>45503</c:v>
                </c:pt>
                <c:pt idx="864">
                  <c:v>45504</c:v>
                </c:pt>
                <c:pt idx="865">
                  <c:v>45505</c:v>
                </c:pt>
                <c:pt idx="866">
                  <c:v>45506</c:v>
                </c:pt>
                <c:pt idx="867">
                  <c:v>45509</c:v>
                </c:pt>
                <c:pt idx="868">
                  <c:v>45510</c:v>
                </c:pt>
                <c:pt idx="869">
                  <c:v>45511</c:v>
                </c:pt>
                <c:pt idx="870">
                  <c:v>45512</c:v>
                </c:pt>
                <c:pt idx="871">
                  <c:v>45513</c:v>
                </c:pt>
                <c:pt idx="872">
                  <c:v>45516</c:v>
                </c:pt>
                <c:pt idx="873">
                  <c:v>45517</c:v>
                </c:pt>
                <c:pt idx="874">
                  <c:v>45518</c:v>
                </c:pt>
                <c:pt idx="875">
                  <c:v>45519</c:v>
                </c:pt>
                <c:pt idx="876">
                  <c:v>45520</c:v>
                </c:pt>
                <c:pt idx="877">
                  <c:v>45523</c:v>
                </c:pt>
                <c:pt idx="878">
                  <c:v>45524</c:v>
                </c:pt>
                <c:pt idx="879">
                  <c:v>45525</c:v>
                </c:pt>
                <c:pt idx="880">
                  <c:v>45526</c:v>
                </c:pt>
                <c:pt idx="881">
                  <c:v>45527</c:v>
                </c:pt>
                <c:pt idx="882">
                  <c:v>45530</c:v>
                </c:pt>
                <c:pt idx="883">
                  <c:v>45531</c:v>
                </c:pt>
                <c:pt idx="884">
                  <c:v>45532</c:v>
                </c:pt>
                <c:pt idx="885">
                  <c:v>45533</c:v>
                </c:pt>
                <c:pt idx="886">
                  <c:v>45534</c:v>
                </c:pt>
                <c:pt idx="887">
                  <c:v>45538</c:v>
                </c:pt>
                <c:pt idx="888">
                  <c:v>45539</c:v>
                </c:pt>
                <c:pt idx="889">
                  <c:v>45540</c:v>
                </c:pt>
                <c:pt idx="890">
                  <c:v>45541</c:v>
                </c:pt>
                <c:pt idx="891">
                  <c:v>45544</c:v>
                </c:pt>
                <c:pt idx="892">
                  <c:v>45545</c:v>
                </c:pt>
                <c:pt idx="893">
                  <c:v>45546</c:v>
                </c:pt>
                <c:pt idx="894">
                  <c:v>45547</c:v>
                </c:pt>
                <c:pt idx="895">
                  <c:v>45548</c:v>
                </c:pt>
                <c:pt idx="896">
                  <c:v>45551</c:v>
                </c:pt>
                <c:pt idx="897">
                  <c:v>45552</c:v>
                </c:pt>
                <c:pt idx="898">
                  <c:v>45553</c:v>
                </c:pt>
                <c:pt idx="899">
                  <c:v>45554</c:v>
                </c:pt>
                <c:pt idx="900">
                  <c:v>45555</c:v>
                </c:pt>
                <c:pt idx="901">
                  <c:v>45558</c:v>
                </c:pt>
                <c:pt idx="902">
                  <c:v>45559</c:v>
                </c:pt>
                <c:pt idx="903">
                  <c:v>45560</c:v>
                </c:pt>
                <c:pt idx="904">
                  <c:v>45561</c:v>
                </c:pt>
                <c:pt idx="905">
                  <c:v>45562</c:v>
                </c:pt>
                <c:pt idx="906">
                  <c:v>45565</c:v>
                </c:pt>
                <c:pt idx="907">
                  <c:v>45566</c:v>
                </c:pt>
                <c:pt idx="908">
                  <c:v>45567</c:v>
                </c:pt>
                <c:pt idx="909">
                  <c:v>45568</c:v>
                </c:pt>
                <c:pt idx="910">
                  <c:v>45569</c:v>
                </c:pt>
                <c:pt idx="911">
                  <c:v>45572</c:v>
                </c:pt>
                <c:pt idx="912">
                  <c:v>45573</c:v>
                </c:pt>
                <c:pt idx="913">
                  <c:v>45574</c:v>
                </c:pt>
                <c:pt idx="914">
                  <c:v>45575</c:v>
                </c:pt>
                <c:pt idx="915">
                  <c:v>45576</c:v>
                </c:pt>
                <c:pt idx="916">
                  <c:v>45579</c:v>
                </c:pt>
                <c:pt idx="917">
                  <c:v>45580</c:v>
                </c:pt>
                <c:pt idx="918">
                  <c:v>45581</c:v>
                </c:pt>
                <c:pt idx="919">
                  <c:v>45582</c:v>
                </c:pt>
                <c:pt idx="920">
                  <c:v>45583</c:v>
                </c:pt>
                <c:pt idx="921">
                  <c:v>45586</c:v>
                </c:pt>
                <c:pt idx="922">
                  <c:v>45587</c:v>
                </c:pt>
                <c:pt idx="923">
                  <c:v>45588</c:v>
                </c:pt>
                <c:pt idx="924">
                  <c:v>45589</c:v>
                </c:pt>
                <c:pt idx="925">
                  <c:v>45590</c:v>
                </c:pt>
                <c:pt idx="926">
                  <c:v>45593</c:v>
                </c:pt>
                <c:pt idx="927">
                  <c:v>45594</c:v>
                </c:pt>
                <c:pt idx="928">
                  <c:v>45595</c:v>
                </c:pt>
                <c:pt idx="929">
                  <c:v>45596</c:v>
                </c:pt>
                <c:pt idx="930">
                  <c:v>45597</c:v>
                </c:pt>
                <c:pt idx="931">
                  <c:v>45600</c:v>
                </c:pt>
                <c:pt idx="932">
                  <c:v>45601</c:v>
                </c:pt>
                <c:pt idx="933">
                  <c:v>45602</c:v>
                </c:pt>
                <c:pt idx="934">
                  <c:v>45603</c:v>
                </c:pt>
                <c:pt idx="935">
                  <c:v>45604</c:v>
                </c:pt>
                <c:pt idx="936">
                  <c:v>45607</c:v>
                </c:pt>
                <c:pt idx="937">
                  <c:v>45608</c:v>
                </c:pt>
                <c:pt idx="938">
                  <c:v>45609</c:v>
                </c:pt>
                <c:pt idx="939">
                  <c:v>45610</c:v>
                </c:pt>
                <c:pt idx="940">
                  <c:v>45611</c:v>
                </c:pt>
                <c:pt idx="941">
                  <c:v>45614</c:v>
                </c:pt>
                <c:pt idx="942">
                  <c:v>45615</c:v>
                </c:pt>
                <c:pt idx="943">
                  <c:v>45616</c:v>
                </c:pt>
                <c:pt idx="944">
                  <c:v>45617</c:v>
                </c:pt>
                <c:pt idx="945">
                  <c:v>45618</c:v>
                </c:pt>
                <c:pt idx="946">
                  <c:v>45621</c:v>
                </c:pt>
                <c:pt idx="947">
                  <c:v>45622</c:v>
                </c:pt>
                <c:pt idx="948">
                  <c:v>45623</c:v>
                </c:pt>
                <c:pt idx="949">
                  <c:v>45625</c:v>
                </c:pt>
                <c:pt idx="950">
                  <c:v>45628</c:v>
                </c:pt>
                <c:pt idx="951">
                  <c:v>45629</c:v>
                </c:pt>
                <c:pt idx="952">
                  <c:v>45630</c:v>
                </c:pt>
                <c:pt idx="953">
                  <c:v>45631</c:v>
                </c:pt>
                <c:pt idx="954">
                  <c:v>45632</c:v>
                </c:pt>
                <c:pt idx="955">
                  <c:v>45635</c:v>
                </c:pt>
                <c:pt idx="956">
                  <c:v>45636</c:v>
                </c:pt>
                <c:pt idx="957">
                  <c:v>45637</c:v>
                </c:pt>
                <c:pt idx="958">
                  <c:v>45638</c:v>
                </c:pt>
                <c:pt idx="959">
                  <c:v>45639</c:v>
                </c:pt>
                <c:pt idx="960">
                  <c:v>45642</c:v>
                </c:pt>
                <c:pt idx="961">
                  <c:v>45643</c:v>
                </c:pt>
                <c:pt idx="962">
                  <c:v>45644</c:v>
                </c:pt>
                <c:pt idx="963">
                  <c:v>45645</c:v>
                </c:pt>
                <c:pt idx="964">
                  <c:v>45646</c:v>
                </c:pt>
                <c:pt idx="965">
                  <c:v>45649</c:v>
                </c:pt>
                <c:pt idx="966">
                  <c:v>45650</c:v>
                </c:pt>
                <c:pt idx="967">
                  <c:v>45652</c:v>
                </c:pt>
                <c:pt idx="968">
                  <c:v>45653</c:v>
                </c:pt>
                <c:pt idx="969">
                  <c:v>45656</c:v>
                </c:pt>
                <c:pt idx="970">
                  <c:v>45657</c:v>
                </c:pt>
                <c:pt idx="971">
                  <c:v>45659</c:v>
                </c:pt>
                <c:pt idx="972">
                  <c:v>45660</c:v>
                </c:pt>
                <c:pt idx="973">
                  <c:v>45663</c:v>
                </c:pt>
                <c:pt idx="974">
                  <c:v>45664</c:v>
                </c:pt>
                <c:pt idx="975">
                  <c:v>45665</c:v>
                </c:pt>
                <c:pt idx="976">
                  <c:v>45667</c:v>
                </c:pt>
                <c:pt idx="977">
                  <c:v>45670</c:v>
                </c:pt>
                <c:pt idx="978">
                  <c:v>45671</c:v>
                </c:pt>
                <c:pt idx="979">
                  <c:v>45672</c:v>
                </c:pt>
                <c:pt idx="980">
                  <c:v>45673</c:v>
                </c:pt>
                <c:pt idx="981">
                  <c:v>45674</c:v>
                </c:pt>
                <c:pt idx="982">
                  <c:v>45678</c:v>
                </c:pt>
                <c:pt idx="983">
                  <c:v>45679</c:v>
                </c:pt>
                <c:pt idx="984">
                  <c:v>45680</c:v>
                </c:pt>
                <c:pt idx="985">
                  <c:v>45681</c:v>
                </c:pt>
                <c:pt idx="986">
                  <c:v>45684</c:v>
                </c:pt>
                <c:pt idx="987">
                  <c:v>45685</c:v>
                </c:pt>
                <c:pt idx="988">
                  <c:v>45686</c:v>
                </c:pt>
                <c:pt idx="989">
                  <c:v>45687</c:v>
                </c:pt>
                <c:pt idx="990">
                  <c:v>45688</c:v>
                </c:pt>
                <c:pt idx="991">
                  <c:v>45691</c:v>
                </c:pt>
                <c:pt idx="992">
                  <c:v>45692</c:v>
                </c:pt>
                <c:pt idx="993">
                  <c:v>45693</c:v>
                </c:pt>
                <c:pt idx="994">
                  <c:v>45694</c:v>
                </c:pt>
                <c:pt idx="995">
                  <c:v>45695</c:v>
                </c:pt>
                <c:pt idx="996">
                  <c:v>45698</c:v>
                </c:pt>
                <c:pt idx="997">
                  <c:v>45699</c:v>
                </c:pt>
                <c:pt idx="998">
                  <c:v>45700</c:v>
                </c:pt>
                <c:pt idx="999">
                  <c:v>45701</c:v>
                </c:pt>
                <c:pt idx="1000">
                  <c:v>45702</c:v>
                </c:pt>
                <c:pt idx="1001">
                  <c:v>45706</c:v>
                </c:pt>
                <c:pt idx="1002">
                  <c:v>45707</c:v>
                </c:pt>
                <c:pt idx="1003">
                  <c:v>45708</c:v>
                </c:pt>
                <c:pt idx="1004">
                  <c:v>45709</c:v>
                </c:pt>
                <c:pt idx="1005">
                  <c:v>45712</c:v>
                </c:pt>
                <c:pt idx="1006">
                  <c:v>45713</c:v>
                </c:pt>
                <c:pt idx="1007">
                  <c:v>45714</c:v>
                </c:pt>
                <c:pt idx="1008">
                  <c:v>45715</c:v>
                </c:pt>
                <c:pt idx="1009">
                  <c:v>45716</c:v>
                </c:pt>
                <c:pt idx="1010">
                  <c:v>45719</c:v>
                </c:pt>
                <c:pt idx="1011">
                  <c:v>45720</c:v>
                </c:pt>
                <c:pt idx="1012">
                  <c:v>45721</c:v>
                </c:pt>
                <c:pt idx="1013">
                  <c:v>45722</c:v>
                </c:pt>
                <c:pt idx="1014">
                  <c:v>45723</c:v>
                </c:pt>
                <c:pt idx="1015">
                  <c:v>45726</c:v>
                </c:pt>
                <c:pt idx="1016">
                  <c:v>45727</c:v>
                </c:pt>
                <c:pt idx="1017">
                  <c:v>45728</c:v>
                </c:pt>
                <c:pt idx="1018">
                  <c:v>45729</c:v>
                </c:pt>
                <c:pt idx="1019">
                  <c:v>45730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45740</c:v>
                </c:pt>
                <c:pt idx="1026">
                  <c:v>45741</c:v>
                </c:pt>
                <c:pt idx="1027">
                  <c:v>45742</c:v>
                </c:pt>
                <c:pt idx="1028">
                  <c:v>45743</c:v>
                </c:pt>
                <c:pt idx="1029">
                  <c:v>45744</c:v>
                </c:pt>
                <c:pt idx="1030">
                  <c:v>45747</c:v>
                </c:pt>
                <c:pt idx="1031">
                  <c:v>45748</c:v>
                </c:pt>
                <c:pt idx="1032">
                  <c:v>45749</c:v>
                </c:pt>
                <c:pt idx="1033">
                  <c:v>45750</c:v>
                </c:pt>
                <c:pt idx="1034">
                  <c:v>45751</c:v>
                </c:pt>
                <c:pt idx="1035">
                  <c:v>45754</c:v>
                </c:pt>
                <c:pt idx="1036">
                  <c:v>45755</c:v>
                </c:pt>
                <c:pt idx="1037">
                  <c:v>45756</c:v>
                </c:pt>
                <c:pt idx="1038">
                  <c:v>45757</c:v>
                </c:pt>
                <c:pt idx="1039">
                  <c:v>45758</c:v>
                </c:pt>
                <c:pt idx="1040">
                  <c:v>45761</c:v>
                </c:pt>
                <c:pt idx="1041">
                  <c:v>45762</c:v>
                </c:pt>
                <c:pt idx="1042">
                  <c:v>45763</c:v>
                </c:pt>
                <c:pt idx="1043">
                  <c:v>45764</c:v>
                </c:pt>
                <c:pt idx="1044">
                  <c:v>45768</c:v>
                </c:pt>
                <c:pt idx="1045">
                  <c:v>45769</c:v>
                </c:pt>
                <c:pt idx="1046">
                  <c:v>45770</c:v>
                </c:pt>
                <c:pt idx="1047">
                  <c:v>45771</c:v>
                </c:pt>
                <c:pt idx="1048">
                  <c:v>45772</c:v>
                </c:pt>
                <c:pt idx="1049">
                  <c:v>45775</c:v>
                </c:pt>
                <c:pt idx="1050">
                  <c:v>45776</c:v>
                </c:pt>
                <c:pt idx="1051">
                  <c:v>45777</c:v>
                </c:pt>
                <c:pt idx="1052">
                  <c:v>45778</c:v>
                </c:pt>
                <c:pt idx="1053">
                  <c:v>45779</c:v>
                </c:pt>
                <c:pt idx="1054">
                  <c:v>45782</c:v>
                </c:pt>
                <c:pt idx="1055">
                  <c:v>45783</c:v>
                </c:pt>
                <c:pt idx="1056">
                  <c:v>45784</c:v>
                </c:pt>
                <c:pt idx="1057">
                  <c:v>45785</c:v>
                </c:pt>
                <c:pt idx="1058">
                  <c:v>45786</c:v>
                </c:pt>
                <c:pt idx="1059">
                  <c:v>45789</c:v>
                </c:pt>
                <c:pt idx="1060">
                  <c:v>45790</c:v>
                </c:pt>
                <c:pt idx="1061">
                  <c:v>45791</c:v>
                </c:pt>
                <c:pt idx="1062">
                  <c:v>45792</c:v>
                </c:pt>
                <c:pt idx="1063">
                  <c:v>45793</c:v>
                </c:pt>
                <c:pt idx="1064">
                  <c:v>45796</c:v>
                </c:pt>
                <c:pt idx="1065">
                  <c:v>45797</c:v>
                </c:pt>
                <c:pt idx="1066">
                  <c:v>45798</c:v>
                </c:pt>
                <c:pt idx="1067">
                  <c:v>45799</c:v>
                </c:pt>
                <c:pt idx="1068">
                  <c:v>45800</c:v>
                </c:pt>
                <c:pt idx="1069">
                  <c:v>45804</c:v>
                </c:pt>
                <c:pt idx="1070">
                  <c:v>45805</c:v>
                </c:pt>
                <c:pt idx="1071">
                  <c:v>45806</c:v>
                </c:pt>
                <c:pt idx="1072">
                  <c:v>45807</c:v>
                </c:pt>
                <c:pt idx="1073">
                  <c:v>45810</c:v>
                </c:pt>
                <c:pt idx="1074">
                  <c:v>45811</c:v>
                </c:pt>
                <c:pt idx="1075">
                  <c:v>45812</c:v>
                </c:pt>
                <c:pt idx="1076">
                  <c:v>45813</c:v>
                </c:pt>
                <c:pt idx="1077">
                  <c:v>45814</c:v>
                </c:pt>
                <c:pt idx="1078">
                  <c:v>45817</c:v>
                </c:pt>
                <c:pt idx="1079">
                  <c:v>45818</c:v>
                </c:pt>
                <c:pt idx="1080">
                  <c:v>45819</c:v>
                </c:pt>
                <c:pt idx="1081">
                  <c:v>45820</c:v>
                </c:pt>
                <c:pt idx="1082">
                  <c:v>45821</c:v>
                </c:pt>
                <c:pt idx="1083">
                  <c:v>45824</c:v>
                </c:pt>
                <c:pt idx="1084">
                  <c:v>45825</c:v>
                </c:pt>
                <c:pt idx="1085">
                  <c:v>45826</c:v>
                </c:pt>
                <c:pt idx="1086">
                  <c:v>45828</c:v>
                </c:pt>
                <c:pt idx="1087">
                  <c:v>45831</c:v>
                </c:pt>
                <c:pt idx="1088">
                  <c:v>45832</c:v>
                </c:pt>
                <c:pt idx="1089">
                  <c:v>45833</c:v>
                </c:pt>
                <c:pt idx="1090">
                  <c:v>45834</c:v>
                </c:pt>
                <c:pt idx="1091">
                  <c:v>45835</c:v>
                </c:pt>
                <c:pt idx="1092">
                  <c:v>45838</c:v>
                </c:pt>
                <c:pt idx="1093">
                  <c:v>45839</c:v>
                </c:pt>
                <c:pt idx="1094">
                  <c:v>45840</c:v>
                </c:pt>
                <c:pt idx="1095">
                  <c:v>45841</c:v>
                </c:pt>
                <c:pt idx="1096">
                  <c:v>45845</c:v>
                </c:pt>
                <c:pt idx="1097">
                  <c:v>45846</c:v>
                </c:pt>
                <c:pt idx="1098">
                  <c:v>45847</c:v>
                </c:pt>
                <c:pt idx="1099">
                  <c:v>45848</c:v>
                </c:pt>
                <c:pt idx="1100">
                  <c:v>45849</c:v>
                </c:pt>
                <c:pt idx="1101">
                  <c:v>45852</c:v>
                </c:pt>
                <c:pt idx="1102">
                  <c:v>45853</c:v>
                </c:pt>
                <c:pt idx="1103">
                  <c:v>45854</c:v>
                </c:pt>
                <c:pt idx="1104">
                  <c:v>45855</c:v>
                </c:pt>
                <c:pt idx="1105">
                  <c:v>45856</c:v>
                </c:pt>
                <c:pt idx="1106">
                  <c:v>45859</c:v>
                </c:pt>
                <c:pt idx="1107">
                  <c:v>45860</c:v>
                </c:pt>
                <c:pt idx="1108">
                  <c:v>45861</c:v>
                </c:pt>
                <c:pt idx="1109">
                  <c:v>45862</c:v>
                </c:pt>
                <c:pt idx="1110">
                  <c:v>45863</c:v>
                </c:pt>
                <c:pt idx="1111">
                  <c:v>45866</c:v>
                </c:pt>
                <c:pt idx="1112">
                  <c:v>45867</c:v>
                </c:pt>
                <c:pt idx="1113">
                  <c:v>45868</c:v>
                </c:pt>
                <c:pt idx="1114">
                  <c:v>45869</c:v>
                </c:pt>
                <c:pt idx="1115">
                  <c:v>45870</c:v>
                </c:pt>
                <c:pt idx="1116">
                  <c:v>45873</c:v>
                </c:pt>
                <c:pt idx="1117">
                  <c:v>45874</c:v>
                </c:pt>
                <c:pt idx="1118">
                  <c:v>45875</c:v>
                </c:pt>
                <c:pt idx="1119">
                  <c:v>45876</c:v>
                </c:pt>
                <c:pt idx="1120">
                  <c:v>45877</c:v>
                </c:pt>
                <c:pt idx="1121">
                  <c:v>45880</c:v>
                </c:pt>
                <c:pt idx="1122">
                  <c:v>45881</c:v>
                </c:pt>
                <c:pt idx="1123">
                  <c:v>45882</c:v>
                </c:pt>
                <c:pt idx="1124">
                  <c:v>45883</c:v>
                </c:pt>
                <c:pt idx="1125">
                  <c:v>45884</c:v>
                </c:pt>
                <c:pt idx="1126">
                  <c:v>45887</c:v>
                </c:pt>
                <c:pt idx="1127">
                  <c:v>45888</c:v>
                </c:pt>
                <c:pt idx="1128">
                  <c:v>45889</c:v>
                </c:pt>
                <c:pt idx="1129">
                  <c:v>45890</c:v>
                </c:pt>
                <c:pt idx="1130">
                  <c:v>45891</c:v>
                </c:pt>
                <c:pt idx="1131">
                  <c:v>45894</c:v>
                </c:pt>
                <c:pt idx="1132">
                  <c:v>45895</c:v>
                </c:pt>
                <c:pt idx="1133">
                  <c:v>45896</c:v>
                </c:pt>
                <c:pt idx="1134">
                  <c:v>45897</c:v>
                </c:pt>
                <c:pt idx="1135">
                  <c:v>45898</c:v>
                </c:pt>
                <c:pt idx="1136">
                  <c:v>45902</c:v>
                </c:pt>
                <c:pt idx="1137">
                  <c:v>45903</c:v>
                </c:pt>
                <c:pt idx="1138">
                  <c:v>45904</c:v>
                </c:pt>
                <c:pt idx="1139">
                  <c:v>45905</c:v>
                </c:pt>
                <c:pt idx="1140">
                  <c:v>45908</c:v>
                </c:pt>
                <c:pt idx="1141">
                  <c:v>45909</c:v>
                </c:pt>
                <c:pt idx="1142">
                  <c:v>45910</c:v>
                </c:pt>
                <c:pt idx="1143">
                  <c:v>45911</c:v>
                </c:pt>
                <c:pt idx="1144">
                  <c:v>45912</c:v>
                </c:pt>
                <c:pt idx="1145">
                  <c:v>45915</c:v>
                </c:pt>
                <c:pt idx="1146">
                  <c:v>45916</c:v>
                </c:pt>
                <c:pt idx="1147">
                  <c:v>45917</c:v>
                </c:pt>
                <c:pt idx="1148">
                  <c:v>45918</c:v>
                </c:pt>
                <c:pt idx="1149">
                  <c:v>45919</c:v>
                </c:pt>
                <c:pt idx="1150">
                  <c:v>45922</c:v>
                </c:pt>
                <c:pt idx="1151">
                  <c:v>45923</c:v>
                </c:pt>
                <c:pt idx="1152">
                  <c:v>45924</c:v>
                </c:pt>
                <c:pt idx="1153">
                  <c:v>45925</c:v>
                </c:pt>
                <c:pt idx="1154">
                  <c:v>45926</c:v>
                </c:pt>
                <c:pt idx="1155">
                  <c:v>45929</c:v>
                </c:pt>
                <c:pt idx="1156">
                  <c:v>45930</c:v>
                </c:pt>
                <c:pt idx="1157">
                  <c:v>45931</c:v>
                </c:pt>
                <c:pt idx="1158">
                  <c:v>45932</c:v>
                </c:pt>
                <c:pt idx="1159">
                  <c:v>45933</c:v>
                </c:pt>
                <c:pt idx="1160">
                  <c:v>45936</c:v>
                </c:pt>
                <c:pt idx="1161">
                  <c:v>45937</c:v>
                </c:pt>
                <c:pt idx="1162">
                  <c:v>45938</c:v>
                </c:pt>
                <c:pt idx="1163">
                  <c:v>45939</c:v>
                </c:pt>
                <c:pt idx="1164">
                  <c:v>45940</c:v>
                </c:pt>
                <c:pt idx="1165">
                  <c:v>45943</c:v>
                </c:pt>
                <c:pt idx="1166">
                  <c:v>45944</c:v>
                </c:pt>
                <c:pt idx="1167">
                  <c:v>45945</c:v>
                </c:pt>
                <c:pt idx="1168">
                  <c:v>45946</c:v>
                </c:pt>
                <c:pt idx="1169">
                  <c:v>45947</c:v>
                </c:pt>
                <c:pt idx="1170">
                  <c:v>45950</c:v>
                </c:pt>
                <c:pt idx="1171">
                  <c:v>45951</c:v>
                </c:pt>
                <c:pt idx="1172">
                  <c:v>45952</c:v>
                </c:pt>
                <c:pt idx="1173">
                  <c:v>45953</c:v>
                </c:pt>
                <c:pt idx="1174">
                  <c:v>45954</c:v>
                </c:pt>
                <c:pt idx="1175">
                  <c:v>45957</c:v>
                </c:pt>
                <c:pt idx="1176">
                  <c:v>45958</c:v>
                </c:pt>
                <c:pt idx="1177">
                  <c:v>45959</c:v>
                </c:pt>
                <c:pt idx="1178">
                  <c:v>45960</c:v>
                </c:pt>
                <c:pt idx="1179">
                  <c:v>45961</c:v>
                </c:pt>
                <c:pt idx="1180">
                  <c:v>45964</c:v>
                </c:pt>
                <c:pt idx="1181">
                  <c:v>45965</c:v>
                </c:pt>
                <c:pt idx="1182">
                  <c:v>45966</c:v>
                </c:pt>
                <c:pt idx="1183">
                  <c:v>45967</c:v>
                </c:pt>
                <c:pt idx="1184">
                  <c:v>45968</c:v>
                </c:pt>
                <c:pt idx="1185">
                  <c:v>45971</c:v>
                </c:pt>
                <c:pt idx="1186">
                  <c:v>45972</c:v>
                </c:pt>
                <c:pt idx="1187">
                  <c:v>45973</c:v>
                </c:pt>
                <c:pt idx="1188">
                  <c:v>45974</c:v>
                </c:pt>
                <c:pt idx="1189">
                  <c:v>45975</c:v>
                </c:pt>
                <c:pt idx="1190">
                  <c:v>45978</c:v>
                </c:pt>
                <c:pt idx="1191">
                  <c:v>45979</c:v>
                </c:pt>
                <c:pt idx="1192">
                  <c:v>45980</c:v>
                </c:pt>
                <c:pt idx="1193">
                  <c:v>45981</c:v>
                </c:pt>
                <c:pt idx="1194">
                  <c:v>45982</c:v>
                </c:pt>
                <c:pt idx="1195">
                  <c:v>45985</c:v>
                </c:pt>
                <c:pt idx="1196">
                  <c:v>45986</c:v>
                </c:pt>
                <c:pt idx="1197">
                  <c:v>45987</c:v>
                </c:pt>
                <c:pt idx="1198">
                  <c:v>45989</c:v>
                </c:pt>
                <c:pt idx="1199">
                  <c:v>45992</c:v>
                </c:pt>
                <c:pt idx="1200">
                  <c:v>45993</c:v>
                </c:pt>
                <c:pt idx="1201">
                  <c:v>45994</c:v>
                </c:pt>
                <c:pt idx="1202">
                  <c:v>45995</c:v>
                </c:pt>
                <c:pt idx="1203">
                  <c:v>45996</c:v>
                </c:pt>
                <c:pt idx="1204">
                  <c:v>45999</c:v>
                </c:pt>
                <c:pt idx="1205">
                  <c:v>46000</c:v>
                </c:pt>
                <c:pt idx="1206">
                  <c:v>46001</c:v>
                </c:pt>
                <c:pt idx="1207">
                  <c:v>46002</c:v>
                </c:pt>
                <c:pt idx="1208">
                  <c:v>46003</c:v>
                </c:pt>
                <c:pt idx="1209">
                  <c:v>46006</c:v>
                </c:pt>
                <c:pt idx="1210">
                  <c:v>46007</c:v>
                </c:pt>
                <c:pt idx="1211">
                  <c:v>46008</c:v>
                </c:pt>
                <c:pt idx="1212">
                  <c:v>46009</c:v>
                </c:pt>
                <c:pt idx="1213">
                  <c:v>46010</c:v>
                </c:pt>
                <c:pt idx="1214">
                  <c:v>46013</c:v>
                </c:pt>
                <c:pt idx="1215">
                  <c:v>46014</c:v>
                </c:pt>
                <c:pt idx="1216">
                  <c:v>46015</c:v>
                </c:pt>
                <c:pt idx="1217">
                  <c:v>46017</c:v>
                </c:pt>
                <c:pt idx="1218">
                  <c:v>46020</c:v>
                </c:pt>
                <c:pt idx="1219">
                  <c:v>46021</c:v>
                </c:pt>
                <c:pt idx="1220">
                  <c:v>46022</c:v>
                </c:pt>
                <c:pt idx="1221">
                  <c:v>46024</c:v>
                </c:pt>
                <c:pt idx="1222">
                  <c:v>46027</c:v>
                </c:pt>
                <c:pt idx="1223">
                  <c:v>46028</c:v>
                </c:pt>
                <c:pt idx="1224">
                  <c:v>46029</c:v>
                </c:pt>
                <c:pt idx="1225">
                  <c:v>46030</c:v>
                </c:pt>
                <c:pt idx="1226">
                  <c:v>46031</c:v>
                </c:pt>
                <c:pt idx="1227">
                  <c:v>46034</c:v>
                </c:pt>
                <c:pt idx="1228">
                  <c:v>46035</c:v>
                </c:pt>
                <c:pt idx="1229">
                  <c:v>46036</c:v>
                </c:pt>
                <c:pt idx="1230">
                  <c:v>46037</c:v>
                </c:pt>
                <c:pt idx="1231">
                  <c:v>46038</c:v>
                </c:pt>
                <c:pt idx="1232">
                  <c:v>46042</c:v>
                </c:pt>
                <c:pt idx="1233">
                  <c:v>46043</c:v>
                </c:pt>
                <c:pt idx="1234">
                  <c:v>46044</c:v>
                </c:pt>
                <c:pt idx="1235">
                  <c:v>46045</c:v>
                </c:pt>
                <c:pt idx="1236">
                  <c:v>46048</c:v>
                </c:pt>
                <c:pt idx="1237">
                  <c:v>46049</c:v>
                </c:pt>
                <c:pt idx="1238">
                  <c:v>46050</c:v>
                </c:pt>
                <c:pt idx="1239">
                  <c:v>46051</c:v>
                </c:pt>
                <c:pt idx="1240">
                  <c:v>46052</c:v>
                </c:pt>
                <c:pt idx="1241">
                  <c:v>46055</c:v>
                </c:pt>
                <c:pt idx="1242">
                  <c:v>46056</c:v>
                </c:pt>
                <c:pt idx="1243">
                  <c:v>46057</c:v>
                </c:pt>
                <c:pt idx="1244">
                  <c:v>46058</c:v>
                </c:pt>
                <c:pt idx="1245">
                  <c:v>46059</c:v>
                </c:pt>
                <c:pt idx="1246">
                  <c:v>46062</c:v>
                </c:pt>
                <c:pt idx="1247">
                  <c:v>46063</c:v>
                </c:pt>
                <c:pt idx="1248">
                  <c:v>46064</c:v>
                </c:pt>
                <c:pt idx="1249">
                  <c:v>46065</c:v>
                </c:pt>
                <c:pt idx="1250">
                  <c:v>46066</c:v>
                </c:pt>
                <c:pt idx="1251">
                  <c:v>46070</c:v>
                </c:pt>
                <c:pt idx="1252">
                  <c:v>46071</c:v>
                </c:pt>
                <c:pt idx="1253">
                  <c:v>46072</c:v>
                </c:pt>
                <c:pt idx="1254">
                  <c:v>46073</c:v>
                </c:pt>
              </c:numCache>
            </c:numRef>
          </c:cat>
          <c:val>
            <c:numRef>
              <c:f>Calcs!$F$2:$F$1257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-3.486255514762604E-2</c:v>
                </c:pt>
                <c:pt idx="3">
                  <c:v>-3.0820966895998558E-2</c:v>
                </c:pt>
                <c:pt idx="4">
                  <c:v>-1.6659982105944326E-3</c:v>
                </c:pt>
                <c:pt idx="5">
                  <c:v>-1.7678092123530664E-2</c:v>
                </c:pt>
                <c:pt idx="6">
                  <c:v>-4.6185172615925474E-2</c:v>
                </c:pt>
                <c:pt idx="7">
                  <c:v>-6.1796192885570478E-2</c:v>
                </c:pt>
                <c:pt idx="8">
                  <c:v>-4.7666059914231784E-2</c:v>
                </c:pt>
                <c:pt idx="9">
                  <c:v>-7.4630549470891094E-2</c:v>
                </c:pt>
                <c:pt idx="10">
                  <c:v>-3.8132847931385494E-2</c:v>
                </c:pt>
                <c:pt idx="11">
                  <c:v>-4.0878659796995009E-2</c:v>
                </c:pt>
                <c:pt idx="12">
                  <c:v>-1.8788757597260064E-2</c:v>
                </c:pt>
                <c:pt idx="13">
                  <c:v>-2.6748526825656316E-2</c:v>
                </c:pt>
                <c:pt idx="14">
                  <c:v>-1.6351463918797826E-2</c:v>
                </c:pt>
                <c:pt idx="15">
                  <c:v>-1.0952395643722967E-2</c:v>
                </c:pt>
                <c:pt idx="16">
                  <c:v>-6.8799555733807249E-3</c:v>
                </c:pt>
                <c:pt idx="17">
                  <c:v>-3.7299848826087945E-2</c:v>
                </c:pt>
                <c:pt idx="18">
                  <c:v>-3.3906148767469557E-2</c:v>
                </c:pt>
                <c:pt idx="19">
                  <c:v>-1.7030203930521237E-2</c:v>
                </c:pt>
                <c:pt idx="20">
                  <c:v>-2.1318606731866363E-2</c:v>
                </c:pt>
                <c:pt idx="21">
                  <c:v>-3.7824329744238105E-2</c:v>
                </c:pt>
                <c:pt idx="22">
                  <c:v>-3.949032795483276E-2</c:v>
                </c:pt>
                <c:pt idx="23">
                  <c:v>-2.5082528615061661E-2</c:v>
                </c:pt>
                <c:pt idx="24">
                  <c:v>-2.5360194983494067E-2</c:v>
                </c:pt>
                <c:pt idx="25">
                  <c:v>-3.0265634159133525E-2</c:v>
                </c:pt>
                <c:pt idx="26">
                  <c:v>-1.5425909357356549E-2</c:v>
                </c:pt>
                <c:pt idx="27">
                  <c:v>0</c:v>
                </c:pt>
                <c:pt idx="28">
                  <c:v>0</c:v>
                </c:pt>
                <c:pt idx="29">
                  <c:v>-6.9475909983396367E-4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-1.3052119486220981E-3</c:v>
                </c:pt>
                <c:pt idx="34">
                  <c:v>0</c:v>
                </c:pt>
                <c:pt idx="35">
                  <c:v>-1.2008220786846713E-2</c:v>
                </c:pt>
                <c:pt idx="36">
                  <c:v>0</c:v>
                </c:pt>
                <c:pt idx="37">
                  <c:v>0</c:v>
                </c:pt>
                <c:pt idx="38">
                  <c:v>-9.1517791877430144E-3</c:v>
                </c:pt>
                <c:pt idx="39">
                  <c:v>-1.6373790240051478E-2</c:v>
                </c:pt>
                <c:pt idx="40">
                  <c:v>-7.9529838308822765E-3</c:v>
                </c:pt>
                <c:pt idx="41">
                  <c:v>-1.9911698488348395E-2</c:v>
                </c:pt>
                <c:pt idx="42">
                  <c:v>-7.572877986023907E-3</c:v>
                </c:pt>
                <c:pt idx="43">
                  <c:v>-1.1110786234322934E-3</c:v>
                </c:pt>
                <c:pt idx="44">
                  <c:v>-5.4384374725887641E-3</c:v>
                </c:pt>
                <c:pt idx="45">
                  <c:v>-8.8009122540277929E-3</c:v>
                </c:pt>
                <c:pt idx="46">
                  <c:v>-5.2337650945878389E-3</c:v>
                </c:pt>
                <c:pt idx="47">
                  <c:v>-1.1754042279465637E-2</c:v>
                </c:pt>
                <c:pt idx="48">
                  <c:v>-1.7017046285196513E-2</c:v>
                </c:pt>
                <c:pt idx="49">
                  <c:v>-3.4706587526680654E-2</c:v>
                </c:pt>
                <c:pt idx="50">
                  <c:v>-3.7952106663548091E-2</c:v>
                </c:pt>
                <c:pt idx="51">
                  <c:v>-3.0700856700096812E-2</c:v>
                </c:pt>
                <c:pt idx="52">
                  <c:v>-2.2835589602643425E-2</c:v>
                </c:pt>
                <c:pt idx="53">
                  <c:v>-4.75132306072924E-2</c:v>
                </c:pt>
                <c:pt idx="54">
                  <c:v>-4.8828981608725064E-2</c:v>
                </c:pt>
                <c:pt idx="55">
                  <c:v>-7.3448144791088188E-2</c:v>
                </c:pt>
                <c:pt idx="56">
                  <c:v>-6.6284611561065687E-2</c:v>
                </c:pt>
                <c:pt idx="57">
                  <c:v>-4.5671179205286516E-2</c:v>
                </c:pt>
                <c:pt idx="58">
                  <c:v>-5.146048361159028E-2</c:v>
                </c:pt>
                <c:pt idx="59">
                  <c:v>-5.7863805151896042E-2</c:v>
                </c:pt>
                <c:pt idx="60">
                  <c:v>-5.6781965439607118E-2</c:v>
                </c:pt>
                <c:pt idx="61">
                  <c:v>-3.8536884886406941E-2</c:v>
                </c:pt>
                <c:pt idx="62">
                  <c:v>-4.385836671442378E-2</c:v>
                </c:pt>
                <c:pt idx="63">
                  <c:v>-2.7776965585801894E-2</c:v>
                </c:pt>
                <c:pt idx="64">
                  <c:v>-2.6431975673226193E-2</c:v>
                </c:pt>
                <c:pt idx="65">
                  <c:v>-2.3040261980644239E-2</c:v>
                </c:pt>
                <c:pt idx="66">
                  <c:v>-2.6695125873512859E-2</c:v>
                </c:pt>
                <c:pt idx="67">
                  <c:v>-2.3625040203503311E-2</c:v>
                </c:pt>
                <c:pt idx="68">
                  <c:v>-2.6870559340370526E-2</c:v>
                </c:pt>
                <c:pt idx="69">
                  <c:v>-2.4970030116078568E-2</c:v>
                </c:pt>
                <c:pt idx="70">
                  <c:v>-3.511593228268195E-2</c:v>
                </c:pt>
                <c:pt idx="71">
                  <c:v>-1.8742142042630472E-2</c:v>
                </c:pt>
                <c:pt idx="72">
                  <c:v>-1.5818250928335553E-2</c:v>
                </c:pt>
                <c:pt idx="73">
                  <c:v>-1.5350428350048517E-2</c:v>
                </c:pt>
                <c:pt idx="74">
                  <c:v>-1.5116517060904888E-2</c:v>
                </c:pt>
                <c:pt idx="75">
                  <c:v>-4.8536592497294695E-3</c:v>
                </c:pt>
                <c:pt idx="76">
                  <c:v>-2.2513961580069575E-3</c:v>
                </c:pt>
                <c:pt idx="77">
                  <c:v>0</c:v>
                </c:pt>
                <c:pt idx="78">
                  <c:v>-6.5310150648747456E-3</c:v>
                </c:pt>
                <c:pt idx="79">
                  <c:v>-1.0159356767583061E-2</c:v>
                </c:pt>
                <c:pt idx="80">
                  <c:v>0</c:v>
                </c:pt>
                <c:pt idx="81">
                  <c:v>-7.8473388544622047E-3</c:v>
                </c:pt>
                <c:pt idx="82">
                  <c:v>-2.8377830543810934E-3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-1.2289576724113793E-3</c:v>
                </c:pt>
                <c:pt idx="87">
                  <c:v>0</c:v>
                </c:pt>
                <c:pt idx="88">
                  <c:v>0</c:v>
                </c:pt>
                <c:pt idx="89">
                  <c:v>-1.5775092256120615E-3</c:v>
                </c:pt>
                <c:pt idx="90">
                  <c:v>-1.1831319192090461E-3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-6.0396176755782571E-3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-7.0234390062523522E-3</c:v>
                </c:pt>
                <c:pt idx="100">
                  <c:v>-1.5065965240862456E-2</c:v>
                </c:pt>
                <c:pt idx="101">
                  <c:v>-2.3136034373536729E-2</c:v>
                </c:pt>
                <c:pt idx="102">
                  <c:v>-1.1788360371278173E-2</c:v>
                </c:pt>
                <c:pt idx="103">
                  <c:v>-4.1589776076237372E-3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-1.101793807158935E-2</c:v>
                </c:pt>
                <c:pt idx="108">
                  <c:v>-7.2186490813861415E-3</c:v>
                </c:pt>
                <c:pt idx="109">
                  <c:v>-5.4546934787917944E-3</c:v>
                </c:pt>
                <c:pt idx="110">
                  <c:v>-1.0638009172569296E-2</c:v>
                </c:pt>
                <c:pt idx="111">
                  <c:v>-1.0556595837064919E-2</c:v>
                </c:pt>
                <c:pt idx="112">
                  <c:v>-4.559146788243984E-3</c:v>
                </c:pt>
                <c:pt idx="113">
                  <c:v>-3.1208445276670327E-3</c:v>
                </c:pt>
                <c:pt idx="114">
                  <c:v>0</c:v>
                </c:pt>
                <c:pt idx="115">
                  <c:v>-4.3822869045364587E-3</c:v>
                </c:pt>
                <c:pt idx="116">
                  <c:v>-2.542808450780254E-3</c:v>
                </c:pt>
                <c:pt idx="117">
                  <c:v>-7.6554765060730112E-3</c:v>
                </c:pt>
                <c:pt idx="118">
                  <c:v>-9.359699191170523E-3</c:v>
                </c:pt>
                <c:pt idx="119">
                  <c:v>-5.7889468985852233E-3</c:v>
                </c:pt>
                <c:pt idx="120">
                  <c:v>-2.2993480671950062E-3</c:v>
                </c:pt>
                <c:pt idx="121">
                  <c:v>-1.8665296074875659E-3</c:v>
                </c:pt>
                <c:pt idx="122">
                  <c:v>-1.0658154570292289E-2</c:v>
                </c:pt>
                <c:pt idx="123">
                  <c:v>-2.0180160683853199E-2</c:v>
                </c:pt>
                <c:pt idx="124">
                  <c:v>-1.5446208780804382E-2</c:v>
                </c:pt>
                <c:pt idx="125">
                  <c:v>-5.2479238239507842E-3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-6.3500533617929511E-3</c:v>
                </c:pt>
                <c:pt idx="130">
                  <c:v>0</c:v>
                </c:pt>
                <c:pt idx="131">
                  <c:v>0</c:v>
                </c:pt>
                <c:pt idx="132">
                  <c:v>-8.1523168358488274E-4</c:v>
                </c:pt>
                <c:pt idx="133">
                  <c:v>0</c:v>
                </c:pt>
                <c:pt idx="134">
                  <c:v>-4.7296232066840194E-4</c:v>
                </c:pt>
                <c:pt idx="135">
                  <c:v>0</c:v>
                </c:pt>
                <c:pt idx="136">
                  <c:v>0</c:v>
                </c:pt>
                <c:pt idx="137">
                  <c:v>-3.4806731046034267E-3</c:v>
                </c:pt>
                <c:pt idx="138">
                  <c:v>-6.9090052602652774E-3</c:v>
                </c:pt>
                <c:pt idx="139">
                  <c:v>-1.444610190782758E-2</c:v>
                </c:pt>
                <c:pt idx="140">
                  <c:v>-1.5126534244065848E-2</c:v>
                </c:pt>
                <c:pt idx="141">
                  <c:v>-1.7926775012430896E-2</c:v>
                </c:pt>
                <c:pt idx="142">
                  <c:v>-1.0625212635104964E-2</c:v>
                </c:pt>
                <c:pt idx="143">
                  <c:v>-9.9447802988666956E-3</c:v>
                </c:pt>
                <c:pt idx="144">
                  <c:v>-2.1669152861741314E-2</c:v>
                </c:pt>
                <c:pt idx="145">
                  <c:v>-4.2945748606422085E-2</c:v>
                </c:pt>
                <c:pt idx="146">
                  <c:v>-4.1768077255240343E-2</c:v>
                </c:pt>
                <c:pt idx="147">
                  <c:v>-3.2817774986260151E-2</c:v>
                </c:pt>
                <c:pt idx="148">
                  <c:v>-2.3893643191750691E-2</c:v>
                </c:pt>
                <c:pt idx="149">
                  <c:v>-2.2977676585276052E-2</c:v>
                </c:pt>
                <c:pt idx="150">
                  <c:v>-3.0776477977545236E-2</c:v>
                </c:pt>
                <c:pt idx="151">
                  <c:v>-5.8203135222841262E-2</c:v>
                </c:pt>
                <c:pt idx="152">
                  <c:v>-5.9747193216612704E-2</c:v>
                </c:pt>
                <c:pt idx="153">
                  <c:v>-6.3201695846745287E-2</c:v>
                </c:pt>
                <c:pt idx="154">
                  <c:v>-5.7391850514249443E-2</c:v>
                </c:pt>
                <c:pt idx="155">
                  <c:v>-7.7176729214100348E-2</c:v>
                </c:pt>
                <c:pt idx="156">
                  <c:v>-6.4719583366046218E-2</c:v>
                </c:pt>
                <c:pt idx="157">
                  <c:v>-5.8726544712255357E-2</c:v>
                </c:pt>
                <c:pt idx="158">
                  <c:v>-5.0090288136923622E-2</c:v>
                </c:pt>
                <c:pt idx="159">
                  <c:v>-5.4827144016120766E-2</c:v>
                </c:pt>
                <c:pt idx="160">
                  <c:v>-6.2076365444505344E-2</c:v>
                </c:pt>
                <c:pt idx="161">
                  <c:v>-6.5347674753343132E-2</c:v>
                </c:pt>
                <c:pt idx="162">
                  <c:v>-5.7862919054722295E-2</c:v>
                </c:pt>
                <c:pt idx="163">
                  <c:v>-4.0511894480646737E-2</c:v>
                </c:pt>
                <c:pt idx="164">
                  <c:v>-3.44665148779143E-2</c:v>
                </c:pt>
                <c:pt idx="165">
                  <c:v>-2.4757268849283864E-2</c:v>
                </c:pt>
                <c:pt idx="166">
                  <c:v>-1.7377195048545846E-2</c:v>
                </c:pt>
                <c:pt idx="167">
                  <c:v>-1.8659548297610407E-2</c:v>
                </c:pt>
                <c:pt idx="168">
                  <c:v>-1.2666509643819768E-2</c:v>
                </c:pt>
                <c:pt idx="169">
                  <c:v>-2.0962550051032314E-2</c:v>
                </c:pt>
                <c:pt idx="170">
                  <c:v>-1.0939258328753421E-2</c:v>
                </c:pt>
                <c:pt idx="171">
                  <c:v>-7.824971866740027E-3</c:v>
                </c:pt>
                <c:pt idx="172">
                  <c:v>-5.5219701133180088E-3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-1.3547415955846853E-3</c:v>
                </c:pt>
                <c:pt idx="181">
                  <c:v>-8.2288008028099657E-3</c:v>
                </c:pt>
                <c:pt idx="182">
                  <c:v>-2.2804816859006594E-2</c:v>
                </c:pt>
                <c:pt idx="183">
                  <c:v>-2.0095333667837667E-2</c:v>
                </c:pt>
                <c:pt idx="184">
                  <c:v>-9.7842448569996909E-3</c:v>
                </c:pt>
                <c:pt idx="185">
                  <c:v>-1.0010035122930416E-2</c:v>
                </c:pt>
                <c:pt idx="186">
                  <c:v>-2.9603612644256705E-3</c:v>
                </c:pt>
                <c:pt idx="187">
                  <c:v>-2.4335173105873853E-3</c:v>
                </c:pt>
                <c:pt idx="188">
                  <c:v>0</c:v>
                </c:pt>
                <c:pt idx="189">
                  <c:v>0</c:v>
                </c:pt>
                <c:pt idx="190">
                  <c:v>-1.1609198247481411E-2</c:v>
                </c:pt>
                <c:pt idx="191">
                  <c:v>-1.6114260253966672E-2</c:v>
                </c:pt>
                <c:pt idx="192">
                  <c:v>-1.2945864996658396E-2</c:v>
                </c:pt>
                <c:pt idx="193">
                  <c:v>-3.1659199485135847E-2</c:v>
                </c:pt>
                <c:pt idx="194">
                  <c:v>-1.0643827817520268E-2</c:v>
                </c:pt>
                <c:pt idx="195">
                  <c:v>-2.5173890442832692E-2</c:v>
                </c:pt>
                <c:pt idx="196">
                  <c:v>-4.1758459367806089E-2</c:v>
                </c:pt>
                <c:pt idx="197">
                  <c:v>-3.4852347830391817E-2</c:v>
                </c:pt>
                <c:pt idx="198">
                  <c:v>-5.1634941458946981E-2</c:v>
                </c:pt>
                <c:pt idx="199">
                  <c:v>-4.4035743458996635E-2</c:v>
                </c:pt>
                <c:pt idx="200">
                  <c:v>-1.5247902175796413E-2</c:v>
                </c:pt>
                <c:pt idx="201">
                  <c:v>-1.0841852521102036E-2</c:v>
                </c:pt>
                <c:pt idx="202">
                  <c:v>-2.5396668234362374E-2</c:v>
                </c:pt>
                <c:pt idx="203">
                  <c:v>-1.4802346592737714E-2</c:v>
                </c:pt>
                <c:pt idx="204">
                  <c:v>-2.9035372162677486E-2</c:v>
                </c:pt>
                <c:pt idx="205">
                  <c:v>-3.9085125869452342E-2</c:v>
                </c:pt>
                <c:pt idx="206">
                  <c:v>-1.7178643035718699E-2</c:v>
                </c:pt>
                <c:pt idx="207">
                  <c:v>-4.2451545830342496E-2</c:v>
                </c:pt>
                <c:pt idx="208">
                  <c:v>-4.7228891804252715E-2</c:v>
                </c:pt>
                <c:pt idx="209">
                  <c:v>-5.7674694918191105E-2</c:v>
                </c:pt>
                <c:pt idx="210">
                  <c:v>-3.6585063986732447E-2</c:v>
                </c:pt>
                <c:pt idx="211">
                  <c:v>-2.4852100299512569E-2</c:v>
                </c:pt>
                <c:pt idx="212">
                  <c:v>-1.7500433179039265E-2</c:v>
                </c:pt>
                <c:pt idx="213">
                  <c:v>-1.2624074853340161E-3</c:v>
                </c:pt>
                <c:pt idx="214">
                  <c:v>-5.8912349315579648E-3</c:v>
                </c:pt>
                <c:pt idx="215">
                  <c:v>-6.0397534592442348E-3</c:v>
                </c:pt>
                <c:pt idx="216">
                  <c:v>-9.0101240129708549E-3</c:v>
                </c:pt>
                <c:pt idx="217">
                  <c:v>-1.5198395999901138E-2</c:v>
                </c:pt>
                <c:pt idx="218">
                  <c:v>-5.7179633159237797E-3</c:v>
                </c:pt>
                <c:pt idx="219">
                  <c:v>-1.8614322136686678E-2</c:v>
                </c:pt>
                <c:pt idx="220">
                  <c:v>-4.8763583257011578E-2</c:v>
                </c:pt>
                <c:pt idx="221">
                  <c:v>-4.9431916631600181E-2</c:v>
                </c:pt>
                <c:pt idx="222">
                  <c:v>-5.972920121785219E-2</c:v>
                </c:pt>
                <c:pt idx="223">
                  <c:v>-5.9110374019159084E-2</c:v>
                </c:pt>
                <c:pt idx="224">
                  <c:v>-4.4976360801010196E-2</c:v>
                </c:pt>
                <c:pt idx="225">
                  <c:v>-4.1189138345008702E-2</c:v>
                </c:pt>
                <c:pt idx="226">
                  <c:v>-6.517488056635079E-2</c:v>
                </c:pt>
                <c:pt idx="227">
                  <c:v>-5.9357904898636238E-2</c:v>
                </c:pt>
                <c:pt idx="228">
                  <c:v>-8.2774326097180606E-2</c:v>
                </c:pt>
                <c:pt idx="229">
                  <c:v>-9.2848832891903377E-2</c:v>
                </c:pt>
                <c:pt idx="230">
                  <c:v>-0.10463130275501886</c:v>
                </c:pt>
                <c:pt idx="231">
                  <c:v>-0.12945864996658352</c:v>
                </c:pt>
                <c:pt idx="232">
                  <c:v>-0.12547340280700015</c:v>
                </c:pt>
                <c:pt idx="233">
                  <c:v>-0.14574618183618393</c:v>
                </c:pt>
                <c:pt idx="234">
                  <c:v>-0.14708284858536103</c:v>
                </c:pt>
                <c:pt idx="235">
                  <c:v>-0.15567217010322021</c:v>
                </c:pt>
                <c:pt idx="236">
                  <c:v>-0.12918636599915834</c:v>
                </c:pt>
                <c:pt idx="237">
                  <c:v>-0.10133914205797168</c:v>
                </c:pt>
                <c:pt idx="238">
                  <c:v>-9.5225129334884584E-2</c:v>
                </c:pt>
                <c:pt idx="239">
                  <c:v>-8.7873462214411169E-2</c:v>
                </c:pt>
                <c:pt idx="240">
                  <c:v>-0.12485457560830704</c:v>
                </c:pt>
                <c:pt idx="241">
                  <c:v>-0.11381469838362346</c:v>
                </c:pt>
                <c:pt idx="242">
                  <c:v>-0.12094358771256719</c:v>
                </c:pt>
                <c:pt idx="243">
                  <c:v>-0.1110671056214263</c:v>
                </c:pt>
                <c:pt idx="244">
                  <c:v>-9.2230005693210271E-2</c:v>
                </c:pt>
                <c:pt idx="245">
                  <c:v>-0.11277506868981901</c:v>
                </c:pt>
                <c:pt idx="246">
                  <c:v>-0.14091932968637844</c:v>
                </c:pt>
                <c:pt idx="247">
                  <c:v>-0.13985494690462652</c:v>
                </c:pt>
                <c:pt idx="248">
                  <c:v>-0.11846827891779521</c:v>
                </c:pt>
                <c:pt idx="249">
                  <c:v>-0.11869105670932445</c:v>
                </c:pt>
                <c:pt idx="250">
                  <c:v>-0.14490457684596159</c:v>
                </c:pt>
                <c:pt idx="251">
                  <c:v>-0.1546572934973639</c:v>
                </c:pt>
                <c:pt idx="252">
                  <c:v>-0.16314760266343231</c:v>
                </c:pt>
                <c:pt idx="253">
                  <c:v>-0.18458377682615912</c:v>
                </c:pt>
                <c:pt idx="254">
                  <c:v>-0.1571821084680316</c:v>
                </c:pt>
                <c:pt idx="255">
                  <c:v>-0.14411247803163474</c:v>
                </c:pt>
                <c:pt idx="256">
                  <c:v>-0.14156290997301935</c:v>
                </c:pt>
                <c:pt idx="257">
                  <c:v>-0.1547067996732594</c:v>
                </c:pt>
                <c:pt idx="258">
                  <c:v>-0.14052328027921479</c:v>
                </c:pt>
                <c:pt idx="259">
                  <c:v>-0.15280081190128481</c:v>
                </c:pt>
                <c:pt idx="260">
                  <c:v>-0.1650783435233546</c:v>
                </c:pt>
                <c:pt idx="261">
                  <c:v>-0.1958711849303203</c:v>
                </c:pt>
                <c:pt idx="262">
                  <c:v>-0.19960890121042607</c:v>
                </c:pt>
                <c:pt idx="263">
                  <c:v>-0.17079630683927827</c:v>
                </c:pt>
                <c:pt idx="264">
                  <c:v>-0.18000445555583078</c:v>
                </c:pt>
                <c:pt idx="265">
                  <c:v>-0.1970098269759154</c:v>
                </c:pt>
                <c:pt idx="266">
                  <c:v>-0.21243100076734578</c:v>
                </c:pt>
                <c:pt idx="267">
                  <c:v>-0.18772741899551981</c:v>
                </c:pt>
                <c:pt idx="268">
                  <c:v>-0.15760291096314283</c:v>
                </c:pt>
                <c:pt idx="269">
                  <c:v>-0.1474046387286817</c:v>
                </c:pt>
                <c:pt idx="270">
                  <c:v>-0.12995371172553816</c:v>
                </c:pt>
                <c:pt idx="271">
                  <c:v>-0.133443897126167</c:v>
                </c:pt>
                <c:pt idx="272">
                  <c:v>-0.11641377261813468</c:v>
                </c:pt>
                <c:pt idx="273">
                  <c:v>-0.12911210673531581</c:v>
                </c:pt>
                <c:pt idx="274">
                  <c:v>-0.10975519196019778</c:v>
                </c:pt>
                <c:pt idx="275">
                  <c:v>-0.11049778459862925</c:v>
                </c:pt>
                <c:pt idx="276">
                  <c:v>-9.6735067699696087E-2</c:v>
                </c:pt>
                <c:pt idx="277">
                  <c:v>-8.1190128468526912E-2</c:v>
                </c:pt>
                <c:pt idx="278">
                  <c:v>-9.1338894527092873E-2</c:v>
                </c:pt>
                <c:pt idx="279">
                  <c:v>-0.10260154954330603</c:v>
                </c:pt>
                <c:pt idx="280">
                  <c:v>-0.10430951261169885</c:v>
                </c:pt>
                <c:pt idx="281">
                  <c:v>-8.5868462090646358E-2</c:v>
                </c:pt>
                <c:pt idx="282">
                  <c:v>-0.10616599420777806</c:v>
                </c:pt>
                <c:pt idx="283">
                  <c:v>-0.12557241515879181</c:v>
                </c:pt>
                <c:pt idx="284">
                  <c:v>-0.12349315577118325</c:v>
                </c:pt>
                <c:pt idx="285">
                  <c:v>-0.13574593430530535</c:v>
                </c:pt>
                <c:pt idx="286">
                  <c:v>-0.15619198495012332</c:v>
                </c:pt>
                <c:pt idx="287">
                  <c:v>-0.15975642961459513</c:v>
                </c:pt>
                <c:pt idx="288">
                  <c:v>-0.14267679893066731</c:v>
                </c:pt>
                <c:pt idx="289">
                  <c:v>-0.16228124458526261</c:v>
                </c:pt>
                <c:pt idx="290">
                  <c:v>-0.16163766429862192</c:v>
                </c:pt>
                <c:pt idx="291">
                  <c:v>-0.14289957672219677</c:v>
                </c:pt>
                <c:pt idx="292">
                  <c:v>-0.15539988613579603</c:v>
                </c:pt>
                <c:pt idx="293">
                  <c:v>-0.17287556622688738</c:v>
                </c:pt>
                <c:pt idx="294">
                  <c:v>-0.19453451818114353</c:v>
                </c:pt>
                <c:pt idx="295">
                  <c:v>-0.18418772741899603</c:v>
                </c:pt>
                <c:pt idx="296">
                  <c:v>-0.21498056882596162</c:v>
                </c:pt>
                <c:pt idx="297">
                  <c:v>-0.21592118616797507</c:v>
                </c:pt>
                <c:pt idx="298">
                  <c:v>-0.1880739622267884</c:v>
                </c:pt>
                <c:pt idx="299">
                  <c:v>-0.22460952003762524</c:v>
                </c:pt>
                <c:pt idx="300">
                  <c:v>-0.21166365504096685</c:v>
                </c:pt>
                <c:pt idx="301">
                  <c:v>-0.21082205005074439</c:v>
                </c:pt>
                <c:pt idx="302">
                  <c:v>-0.18413822124310053</c:v>
                </c:pt>
                <c:pt idx="303">
                  <c:v>-0.22522834723631824</c:v>
                </c:pt>
                <c:pt idx="304">
                  <c:v>-0.23451075521671372</c:v>
                </c:pt>
                <c:pt idx="305">
                  <c:v>-0.26446199163345674</c:v>
                </c:pt>
                <c:pt idx="306">
                  <c:v>-0.2555261268843293</c:v>
                </c:pt>
                <c:pt idx="307">
                  <c:v>-0.2776058813336969</c:v>
                </c:pt>
                <c:pt idx="308">
                  <c:v>-0.27931384440208973</c:v>
                </c:pt>
                <c:pt idx="309">
                  <c:v>-0.25260526250649817</c:v>
                </c:pt>
                <c:pt idx="310">
                  <c:v>-0.26126884328820066</c:v>
                </c:pt>
                <c:pt idx="311">
                  <c:v>-0.24213470630461198</c:v>
                </c:pt>
                <c:pt idx="312">
                  <c:v>-0.27933859749003731</c:v>
                </c:pt>
                <c:pt idx="313">
                  <c:v>-0.28320007920988188</c:v>
                </c:pt>
                <c:pt idx="314">
                  <c:v>-0.28542785712517671</c:v>
                </c:pt>
                <c:pt idx="315">
                  <c:v>-0.27354637491027045</c:v>
                </c:pt>
                <c:pt idx="316">
                  <c:v>-0.28899230178964863</c:v>
                </c:pt>
                <c:pt idx="317">
                  <c:v>-0.27904156043466466</c:v>
                </c:pt>
                <c:pt idx="318">
                  <c:v>-0.25906581846085341</c:v>
                </c:pt>
                <c:pt idx="319">
                  <c:v>-0.23488205153592945</c:v>
                </c:pt>
                <c:pt idx="320">
                  <c:v>-0.23691180474764273</c:v>
                </c:pt>
                <c:pt idx="321">
                  <c:v>-0.24255550879972321</c:v>
                </c:pt>
                <c:pt idx="322">
                  <c:v>-0.22181242109953259</c:v>
                </c:pt>
                <c:pt idx="323">
                  <c:v>-0.24206044704076879</c:v>
                </c:pt>
                <c:pt idx="324">
                  <c:v>-0.23953563207010109</c:v>
                </c:pt>
                <c:pt idx="325">
                  <c:v>-0.23297606376395497</c:v>
                </c:pt>
                <c:pt idx="326">
                  <c:v>-0.23849600237629698</c:v>
                </c:pt>
                <c:pt idx="327">
                  <c:v>-0.25889254684521934</c:v>
                </c:pt>
                <c:pt idx="328">
                  <c:v>-0.28503180771801329</c:v>
                </c:pt>
                <c:pt idx="329">
                  <c:v>-0.31827520483180305</c:v>
                </c:pt>
                <c:pt idx="330">
                  <c:v>-0.31703755043441695</c:v>
                </c:pt>
                <c:pt idx="331">
                  <c:v>-0.29998267283843705</c:v>
                </c:pt>
                <c:pt idx="332">
                  <c:v>-0.32822594618678713</c:v>
                </c:pt>
                <c:pt idx="333">
                  <c:v>-0.32005742716403907</c:v>
                </c:pt>
                <c:pt idx="334">
                  <c:v>-0.30424020396544504</c:v>
                </c:pt>
                <c:pt idx="335">
                  <c:v>-0.30525508057130157</c:v>
                </c:pt>
                <c:pt idx="336">
                  <c:v>-0.29490828980915396</c:v>
                </c:pt>
                <c:pt idx="337">
                  <c:v>-0.27074927597217779</c:v>
                </c:pt>
                <c:pt idx="338">
                  <c:v>-0.27609594296888573</c:v>
                </c:pt>
                <c:pt idx="339">
                  <c:v>-0.29815094433030542</c:v>
                </c:pt>
                <c:pt idx="340">
                  <c:v>-0.29750736404366473</c:v>
                </c:pt>
                <c:pt idx="341">
                  <c:v>-0.30622045100126283</c:v>
                </c:pt>
                <c:pt idx="342">
                  <c:v>-0.30164112973093427</c:v>
                </c:pt>
                <c:pt idx="343">
                  <c:v>-0.28968538825218482</c:v>
                </c:pt>
                <c:pt idx="344">
                  <c:v>-0.28513082006980395</c:v>
                </c:pt>
                <c:pt idx="345">
                  <c:v>-0.26983341171811215</c:v>
                </c:pt>
                <c:pt idx="346">
                  <c:v>-0.2689175474640465</c:v>
                </c:pt>
                <c:pt idx="347">
                  <c:v>-0.28453674595905865</c:v>
                </c:pt>
                <c:pt idx="348">
                  <c:v>-0.29146761058442072</c:v>
                </c:pt>
                <c:pt idx="349">
                  <c:v>-0.29292804277333628</c:v>
                </c:pt>
                <c:pt idx="350">
                  <c:v>-0.2904032278026687</c:v>
                </c:pt>
                <c:pt idx="351">
                  <c:v>-0.2775316220698536</c:v>
                </c:pt>
                <c:pt idx="352">
                  <c:v>-0.2836456347929408</c:v>
                </c:pt>
                <c:pt idx="353">
                  <c:v>-0.2616153865194687</c:v>
                </c:pt>
                <c:pt idx="354">
                  <c:v>-0.24990717592019651</c:v>
                </c:pt>
                <c:pt idx="355">
                  <c:v>-0.23913958266293756</c:v>
                </c:pt>
                <c:pt idx="356">
                  <c:v>-0.25248149706675949</c:v>
                </c:pt>
                <c:pt idx="357">
                  <c:v>-0.25673902819376759</c:v>
                </c:pt>
                <c:pt idx="358">
                  <c:v>-0.27134335008292321</c:v>
                </c:pt>
                <c:pt idx="359">
                  <c:v>-0.24055050867595784</c:v>
                </c:pt>
                <c:pt idx="360">
                  <c:v>-0.23312458229164135</c:v>
                </c:pt>
                <c:pt idx="361">
                  <c:v>-0.21913908760117884</c:v>
                </c:pt>
                <c:pt idx="362">
                  <c:v>-0.21960939627218556</c:v>
                </c:pt>
                <c:pt idx="363">
                  <c:v>-0.22193618653927139</c:v>
                </c:pt>
                <c:pt idx="364">
                  <c:v>-0.20074754325602184</c:v>
                </c:pt>
                <c:pt idx="365">
                  <c:v>-0.19700982697591585</c:v>
                </c:pt>
                <c:pt idx="366">
                  <c:v>-0.20356939528206186</c:v>
                </c:pt>
                <c:pt idx="367">
                  <c:v>-0.20614371642862495</c:v>
                </c:pt>
                <c:pt idx="368">
                  <c:v>-0.21512908735364777</c:v>
                </c:pt>
                <c:pt idx="369">
                  <c:v>-0.19322260451991413</c:v>
                </c:pt>
                <c:pt idx="370">
                  <c:v>-0.19780192579024269</c:v>
                </c:pt>
                <c:pt idx="371">
                  <c:v>-0.18218272729523033</c:v>
                </c:pt>
                <c:pt idx="372">
                  <c:v>-0.1755736528131886</c:v>
                </c:pt>
                <c:pt idx="373">
                  <c:v>-0.17750439367311088</c:v>
                </c:pt>
                <c:pt idx="374">
                  <c:v>-0.18688581400529725</c:v>
                </c:pt>
                <c:pt idx="375">
                  <c:v>-0.18493032005742738</c:v>
                </c:pt>
                <c:pt idx="376">
                  <c:v>-0.20082180251986437</c:v>
                </c:pt>
                <c:pt idx="377">
                  <c:v>-0.22186192727542764</c:v>
                </c:pt>
                <c:pt idx="378">
                  <c:v>-0.22250550756206833</c:v>
                </c:pt>
                <c:pt idx="379">
                  <c:v>-0.22025297655882592</c:v>
                </c:pt>
                <c:pt idx="380">
                  <c:v>-0.20646550657194507</c:v>
                </c:pt>
                <c:pt idx="381">
                  <c:v>-0.23899106413525106</c:v>
                </c:pt>
                <c:pt idx="382">
                  <c:v>-0.24649124978341053</c:v>
                </c:pt>
                <c:pt idx="383">
                  <c:v>-0.25488254659768828</c:v>
                </c:pt>
                <c:pt idx="384">
                  <c:v>-0.25921433698853946</c:v>
                </c:pt>
                <c:pt idx="385">
                  <c:v>-0.25889254684521901</c:v>
                </c:pt>
                <c:pt idx="386">
                  <c:v>-0.2693631030471052</c:v>
                </c:pt>
                <c:pt idx="387">
                  <c:v>-0.27461075769202214</c:v>
                </c:pt>
                <c:pt idx="388">
                  <c:v>-0.25995692962697092</c:v>
                </c:pt>
                <c:pt idx="389">
                  <c:v>-0.25612020099507415</c:v>
                </c:pt>
                <c:pt idx="390">
                  <c:v>-0.2398574222134211</c:v>
                </c:pt>
                <c:pt idx="391">
                  <c:v>-0.23082254511250255</c:v>
                </c:pt>
                <c:pt idx="392">
                  <c:v>-0.27300180697542009</c:v>
                </c:pt>
                <c:pt idx="393">
                  <c:v>-0.26723433748360104</c:v>
                </c:pt>
                <c:pt idx="394">
                  <c:v>-0.27943760984182753</c:v>
                </c:pt>
                <c:pt idx="395">
                  <c:v>-0.28384365949652202</c:v>
                </c:pt>
                <c:pt idx="396">
                  <c:v>-0.2795613752815661</c:v>
                </c:pt>
                <c:pt idx="397">
                  <c:v>-0.28530409168543736</c:v>
                </c:pt>
                <c:pt idx="398">
                  <c:v>-0.29810143815440948</c:v>
                </c:pt>
                <c:pt idx="399">
                  <c:v>-0.30674026584816427</c:v>
                </c:pt>
                <c:pt idx="400">
                  <c:v>-0.31802767395232534</c:v>
                </c:pt>
                <c:pt idx="401">
                  <c:v>-0.32084952597836547</c:v>
                </c:pt>
                <c:pt idx="402">
                  <c:v>-0.32057724201094062</c:v>
                </c:pt>
                <c:pt idx="403">
                  <c:v>-0.30706205599148462</c:v>
                </c:pt>
                <c:pt idx="404">
                  <c:v>-0.32703779796529586</c:v>
                </c:pt>
                <c:pt idx="405">
                  <c:v>-0.33844897150919551</c:v>
                </c:pt>
                <c:pt idx="406">
                  <c:v>-0.32292878536597425</c:v>
                </c:pt>
                <c:pt idx="407">
                  <c:v>-0.30164112973093371</c:v>
                </c:pt>
                <c:pt idx="408">
                  <c:v>-0.30201242605014955</c:v>
                </c:pt>
                <c:pt idx="409">
                  <c:v>-0.30750761157454376</c:v>
                </c:pt>
                <c:pt idx="410">
                  <c:v>-0.33389440332681486</c:v>
                </c:pt>
                <c:pt idx="411">
                  <c:v>-0.34055298398475198</c:v>
                </c:pt>
                <c:pt idx="412">
                  <c:v>-0.349612614173618</c:v>
                </c:pt>
                <c:pt idx="413">
                  <c:v>-0.34983539196514746</c:v>
                </c:pt>
                <c:pt idx="414">
                  <c:v>-0.33458748978935127</c:v>
                </c:pt>
                <c:pt idx="415">
                  <c:v>-0.35458798485111021</c:v>
                </c:pt>
                <c:pt idx="416">
                  <c:v>-0.33327557612812198</c:v>
                </c:pt>
                <c:pt idx="417">
                  <c:v>-0.32800316839525734</c:v>
                </c:pt>
                <c:pt idx="418">
                  <c:v>-0.33045372410208174</c:v>
                </c:pt>
                <c:pt idx="419">
                  <c:v>-0.33386965023886728</c:v>
                </c:pt>
                <c:pt idx="420">
                  <c:v>-0.31825045174385513</c:v>
                </c:pt>
                <c:pt idx="421">
                  <c:v>-0.31075026609569567</c:v>
                </c:pt>
                <c:pt idx="422">
                  <c:v>-0.29649248743780809</c:v>
                </c:pt>
                <c:pt idx="423">
                  <c:v>-0.31203742666897716</c:v>
                </c:pt>
                <c:pt idx="424">
                  <c:v>-0.32456248917052422</c:v>
                </c:pt>
                <c:pt idx="425">
                  <c:v>-0.3038936607341769</c:v>
                </c:pt>
                <c:pt idx="426">
                  <c:v>-0.31198792049308188</c:v>
                </c:pt>
                <c:pt idx="427">
                  <c:v>-0.31901779747023473</c:v>
                </c:pt>
                <c:pt idx="428">
                  <c:v>-0.34235995940493602</c:v>
                </c:pt>
                <c:pt idx="429">
                  <c:v>-0.35520681204980353</c:v>
                </c:pt>
                <c:pt idx="430">
                  <c:v>-0.34483526819970833</c:v>
                </c:pt>
                <c:pt idx="431">
                  <c:v>-0.33763211960692141</c:v>
                </c:pt>
                <c:pt idx="432">
                  <c:v>-0.33280526745711569</c:v>
                </c:pt>
                <c:pt idx="433">
                  <c:v>-0.34820168816059849</c:v>
                </c:pt>
                <c:pt idx="434">
                  <c:v>-0.30010643827817574</c:v>
                </c:pt>
                <c:pt idx="435">
                  <c:v>-0.28721007945741284</c:v>
                </c:pt>
                <c:pt idx="436">
                  <c:v>-0.29344785762023862</c:v>
                </c:pt>
                <c:pt idx="437">
                  <c:v>-0.28367038788088872</c:v>
                </c:pt>
                <c:pt idx="438">
                  <c:v>-0.29344785762023862</c:v>
                </c:pt>
                <c:pt idx="439">
                  <c:v>-0.29500730216094506</c:v>
                </c:pt>
                <c:pt idx="440">
                  <c:v>-0.29498254907299737</c:v>
                </c:pt>
                <c:pt idx="441">
                  <c:v>-0.30223520384167979</c:v>
                </c:pt>
                <c:pt idx="442">
                  <c:v>-0.29218545013490493</c:v>
                </c:pt>
                <c:pt idx="443">
                  <c:v>-0.28508131389390889</c:v>
                </c:pt>
                <c:pt idx="444">
                  <c:v>-0.28978440060397592</c:v>
                </c:pt>
                <c:pt idx="445">
                  <c:v>-0.30020545062996673</c:v>
                </c:pt>
                <c:pt idx="446">
                  <c:v>-0.30550261145077906</c:v>
                </c:pt>
                <c:pt idx="447">
                  <c:v>-0.27384341196564332</c:v>
                </c:pt>
                <c:pt idx="448">
                  <c:v>-0.27295230079952537</c:v>
                </c:pt>
                <c:pt idx="449">
                  <c:v>-0.2758484120894088</c:v>
                </c:pt>
                <c:pt idx="450">
                  <c:v>-0.28800217827174013</c:v>
                </c:pt>
                <c:pt idx="451">
                  <c:v>-0.30275501868858201</c:v>
                </c:pt>
                <c:pt idx="452">
                  <c:v>-0.30560162380257005</c:v>
                </c:pt>
                <c:pt idx="453">
                  <c:v>-0.29738359860392638</c:v>
                </c:pt>
                <c:pt idx="454">
                  <c:v>-0.30186390752246406</c:v>
                </c:pt>
                <c:pt idx="455">
                  <c:v>-0.29310131438897069</c:v>
                </c:pt>
                <c:pt idx="456">
                  <c:v>-0.28550211638902012</c:v>
                </c:pt>
                <c:pt idx="457">
                  <c:v>-0.29079927720983245</c:v>
                </c:pt>
                <c:pt idx="458">
                  <c:v>-0.31461174781554058</c:v>
                </c:pt>
                <c:pt idx="459">
                  <c:v>-0.32114656303373901</c:v>
                </c:pt>
                <c:pt idx="460">
                  <c:v>-0.33228545261021369</c:v>
                </c:pt>
                <c:pt idx="461">
                  <c:v>-0.33280526745711569</c:v>
                </c:pt>
                <c:pt idx="462">
                  <c:v>-0.32312681006955668</c:v>
                </c:pt>
                <c:pt idx="463">
                  <c:v>-0.33968662590658227</c:v>
                </c:pt>
                <c:pt idx="464">
                  <c:v>-0.33820144062971891</c:v>
                </c:pt>
                <c:pt idx="465">
                  <c:v>-0.34755810787395769</c:v>
                </c:pt>
                <c:pt idx="466">
                  <c:v>-0.35617218247976468</c:v>
                </c:pt>
                <c:pt idx="467">
                  <c:v>-0.34047872472090923</c:v>
                </c:pt>
                <c:pt idx="468">
                  <c:v>-0.34087477412807288</c:v>
                </c:pt>
                <c:pt idx="469">
                  <c:v>-0.34533032995866253</c:v>
                </c:pt>
                <c:pt idx="470">
                  <c:v>-0.34221144087724964</c:v>
                </c:pt>
                <c:pt idx="471">
                  <c:v>-0.35250872546350176</c:v>
                </c:pt>
                <c:pt idx="472">
                  <c:v>-0.33463699596524688</c:v>
                </c:pt>
                <c:pt idx="473">
                  <c:v>-0.33032995866234327</c:v>
                </c:pt>
                <c:pt idx="474">
                  <c:v>-0.3246615015223151</c:v>
                </c:pt>
                <c:pt idx="475">
                  <c:v>-0.3129780440109905</c:v>
                </c:pt>
                <c:pt idx="476">
                  <c:v>-0.30926508081883219</c:v>
                </c:pt>
                <c:pt idx="477">
                  <c:v>-0.30451248793286978</c:v>
                </c:pt>
                <c:pt idx="478">
                  <c:v>-0.30310156191984972</c:v>
                </c:pt>
                <c:pt idx="479">
                  <c:v>-0.31216119210871585</c:v>
                </c:pt>
                <c:pt idx="480">
                  <c:v>-0.31891878511844385</c:v>
                </c:pt>
                <c:pt idx="481">
                  <c:v>-0.30027970989380959</c:v>
                </c:pt>
                <c:pt idx="482">
                  <c:v>-0.28473477066264052</c:v>
                </c:pt>
                <c:pt idx="483">
                  <c:v>-0.28619520285155597</c:v>
                </c:pt>
                <c:pt idx="484">
                  <c:v>-0.28777940048021011</c:v>
                </c:pt>
                <c:pt idx="485">
                  <c:v>-0.27389291814153849</c:v>
                </c:pt>
                <c:pt idx="486">
                  <c:v>-0.26666501646080376</c:v>
                </c:pt>
                <c:pt idx="487">
                  <c:v>-0.28149211614148895</c:v>
                </c:pt>
                <c:pt idx="488">
                  <c:v>-0.27072452288423021</c:v>
                </c:pt>
                <c:pt idx="489">
                  <c:v>-0.25513007747716565</c:v>
                </c:pt>
                <c:pt idx="490">
                  <c:v>-0.22839674249362651</c:v>
                </c:pt>
                <c:pt idx="491">
                  <c:v>-0.24210995321666429</c:v>
                </c:pt>
                <c:pt idx="492">
                  <c:v>-0.24852100299512414</c:v>
                </c:pt>
                <c:pt idx="493">
                  <c:v>-0.23295131067600727</c:v>
                </c:pt>
                <c:pt idx="494">
                  <c:v>-0.24659026213520185</c:v>
                </c:pt>
                <c:pt idx="495">
                  <c:v>-0.25324884279313886</c:v>
                </c:pt>
                <c:pt idx="496">
                  <c:v>-0.25814995420678777</c:v>
                </c:pt>
                <c:pt idx="497">
                  <c:v>-0.2462684719918814</c:v>
                </c:pt>
                <c:pt idx="498">
                  <c:v>-0.24069902720364411</c:v>
                </c:pt>
                <c:pt idx="499">
                  <c:v>-0.23488205153592945</c:v>
                </c:pt>
                <c:pt idx="500">
                  <c:v>-0.24923884254560791</c:v>
                </c:pt>
                <c:pt idx="501">
                  <c:v>-0.25453600336642024</c:v>
                </c:pt>
                <c:pt idx="502">
                  <c:v>-0.27218495507314566</c:v>
                </c:pt>
                <c:pt idx="503">
                  <c:v>-0.27164038713829586</c:v>
                </c:pt>
                <c:pt idx="504">
                  <c:v>-0.2652788435357315</c:v>
                </c:pt>
                <c:pt idx="505">
                  <c:v>-0.27758112824574899</c:v>
                </c:pt>
                <c:pt idx="506">
                  <c:v>-0.27240773286467523</c:v>
                </c:pt>
                <c:pt idx="507">
                  <c:v>-0.27334835020668868</c:v>
                </c:pt>
                <c:pt idx="508">
                  <c:v>-0.27919007896235093</c:v>
                </c:pt>
                <c:pt idx="509">
                  <c:v>-0.27322458476695</c:v>
                </c:pt>
                <c:pt idx="510">
                  <c:v>-0.25819946038268304</c:v>
                </c:pt>
                <c:pt idx="511">
                  <c:v>-0.25735785539246059</c:v>
                </c:pt>
                <c:pt idx="512">
                  <c:v>-0.2664669917572221</c:v>
                </c:pt>
                <c:pt idx="513">
                  <c:v>-0.26280353474095919</c:v>
                </c:pt>
                <c:pt idx="514">
                  <c:v>-0.2755761281219834</c:v>
                </c:pt>
                <c:pt idx="515">
                  <c:v>-0.28574964726849683</c:v>
                </c:pt>
                <c:pt idx="516">
                  <c:v>-0.2804524864476845</c:v>
                </c:pt>
                <c:pt idx="517">
                  <c:v>-0.26391742369860649</c:v>
                </c:pt>
                <c:pt idx="518">
                  <c:v>-0.26005594197876192</c:v>
                </c:pt>
                <c:pt idx="519">
                  <c:v>-0.2405505086759574</c:v>
                </c:pt>
                <c:pt idx="520">
                  <c:v>-0.24413970642837712</c:v>
                </c:pt>
                <c:pt idx="521">
                  <c:v>-0.24262976806356606</c:v>
                </c:pt>
                <c:pt idx="522">
                  <c:v>-0.23181266863041194</c:v>
                </c:pt>
                <c:pt idx="523">
                  <c:v>-0.24225847174435033</c:v>
                </c:pt>
                <c:pt idx="524">
                  <c:v>-0.23327310081932739</c:v>
                </c:pt>
                <c:pt idx="525">
                  <c:v>-0.23045124879328738</c:v>
                </c:pt>
                <c:pt idx="526">
                  <c:v>-0.23572365652615201</c:v>
                </c:pt>
                <c:pt idx="527">
                  <c:v>-0.23978316294957824</c:v>
                </c:pt>
                <c:pt idx="528">
                  <c:v>-0.22592143369885409</c:v>
                </c:pt>
                <c:pt idx="529">
                  <c:v>-0.2185945196663287</c:v>
                </c:pt>
                <c:pt idx="530">
                  <c:v>-0.20559914849377503</c:v>
                </c:pt>
                <c:pt idx="531">
                  <c:v>-0.20752988935369732</c:v>
                </c:pt>
                <c:pt idx="532">
                  <c:v>-0.21020322285205117</c:v>
                </c:pt>
                <c:pt idx="533">
                  <c:v>-0.21800044555558351</c:v>
                </c:pt>
                <c:pt idx="534">
                  <c:v>-0.21272803782271876</c:v>
                </c:pt>
                <c:pt idx="535">
                  <c:v>-0.21317359340577779</c:v>
                </c:pt>
                <c:pt idx="536">
                  <c:v>-0.21822322334711297</c:v>
                </c:pt>
                <c:pt idx="537">
                  <c:v>-0.22512933488452724</c:v>
                </c:pt>
                <c:pt idx="538">
                  <c:v>-0.20995569197257402</c:v>
                </c:pt>
                <c:pt idx="539">
                  <c:v>-0.21144087724943739</c:v>
                </c:pt>
                <c:pt idx="540">
                  <c:v>-0.21077254387484889</c:v>
                </c:pt>
                <c:pt idx="541">
                  <c:v>-0.21072303769895318</c:v>
                </c:pt>
                <c:pt idx="542">
                  <c:v>-0.21109433401816913</c:v>
                </c:pt>
                <c:pt idx="543">
                  <c:v>-0.21710933438946545</c:v>
                </c:pt>
                <c:pt idx="544">
                  <c:v>-0.21629248248719057</c:v>
                </c:pt>
                <c:pt idx="545">
                  <c:v>-0.21792618629174021</c:v>
                </c:pt>
                <c:pt idx="546">
                  <c:v>-0.23267902670858209</c:v>
                </c:pt>
                <c:pt idx="547">
                  <c:v>-0.22802544617441056</c:v>
                </c:pt>
                <c:pt idx="548">
                  <c:v>-0.20703482759474279</c:v>
                </c:pt>
                <c:pt idx="549">
                  <c:v>-0.20156439515829627</c:v>
                </c:pt>
                <c:pt idx="550">
                  <c:v>-0.20248025941236181</c:v>
                </c:pt>
                <c:pt idx="551">
                  <c:v>-0.20943587712567158</c:v>
                </c:pt>
                <c:pt idx="552">
                  <c:v>-0.21460927250674522</c:v>
                </c:pt>
                <c:pt idx="553">
                  <c:v>-0.21738161835689007</c:v>
                </c:pt>
                <c:pt idx="554">
                  <c:v>-0.20074754325602118</c:v>
                </c:pt>
                <c:pt idx="555">
                  <c:v>-0.19876729622020339</c:v>
                </c:pt>
                <c:pt idx="556">
                  <c:v>-0.20384167924948637</c:v>
                </c:pt>
                <c:pt idx="557">
                  <c:v>-0.19517809846778378</c:v>
                </c:pt>
                <c:pt idx="558">
                  <c:v>-0.19255427114532542</c:v>
                </c:pt>
                <c:pt idx="559">
                  <c:v>-0.19545038243520885</c:v>
                </c:pt>
                <c:pt idx="560">
                  <c:v>-0.19109383895640975</c:v>
                </c:pt>
                <c:pt idx="561">
                  <c:v>-0.19017797470234399</c:v>
                </c:pt>
                <c:pt idx="562">
                  <c:v>-0.18037575187504651</c:v>
                </c:pt>
                <c:pt idx="563">
                  <c:v>-0.1651526027871979</c:v>
                </c:pt>
                <c:pt idx="564">
                  <c:v>-0.16703383747122458</c:v>
                </c:pt>
                <c:pt idx="565">
                  <c:v>-0.16423673853313203</c:v>
                </c:pt>
                <c:pt idx="566">
                  <c:v>-0.1748310601747568</c:v>
                </c:pt>
                <c:pt idx="567">
                  <c:v>-0.17906383821381722</c:v>
                </c:pt>
                <c:pt idx="568">
                  <c:v>-0.15908809624000597</c:v>
                </c:pt>
                <c:pt idx="569">
                  <c:v>-0.13760241590138389</c:v>
                </c:pt>
                <c:pt idx="570">
                  <c:v>-0.13369142800564382</c:v>
                </c:pt>
                <c:pt idx="571">
                  <c:v>-0.13861729250724042</c:v>
                </c:pt>
                <c:pt idx="572">
                  <c:v>-0.12866655115225645</c:v>
                </c:pt>
                <c:pt idx="573">
                  <c:v>-0.12213173593405813</c:v>
                </c:pt>
                <c:pt idx="574">
                  <c:v>-0.12151290873536524</c:v>
                </c:pt>
                <c:pt idx="575">
                  <c:v>-0.12166142726305162</c:v>
                </c:pt>
                <c:pt idx="576">
                  <c:v>-0.13656278620757989</c:v>
                </c:pt>
                <c:pt idx="577">
                  <c:v>-0.12584469912621665</c:v>
                </c:pt>
                <c:pt idx="578">
                  <c:v>-0.12250303225327419</c:v>
                </c:pt>
                <c:pt idx="579">
                  <c:v>-0.10767593257258901</c:v>
                </c:pt>
                <c:pt idx="580">
                  <c:v>-0.10081932721107034</c:v>
                </c:pt>
                <c:pt idx="581">
                  <c:v>-9.4284511992872022E-2</c:v>
                </c:pt>
                <c:pt idx="582">
                  <c:v>-8.3492165647665484E-2</c:v>
                </c:pt>
                <c:pt idx="583">
                  <c:v>-8.9259635139484539E-2</c:v>
                </c:pt>
                <c:pt idx="584">
                  <c:v>-9.180920319809982E-2</c:v>
                </c:pt>
                <c:pt idx="585">
                  <c:v>-0.10418574717196061</c:v>
                </c:pt>
                <c:pt idx="586">
                  <c:v>-9.3616178618283419E-2</c:v>
                </c:pt>
                <c:pt idx="587">
                  <c:v>-0.10260154954330614</c:v>
                </c:pt>
                <c:pt idx="588">
                  <c:v>-0.11463155028589889</c:v>
                </c:pt>
                <c:pt idx="589">
                  <c:v>-9.9408401198050278E-2</c:v>
                </c:pt>
                <c:pt idx="590">
                  <c:v>-9.7650931953761844E-2</c:v>
                </c:pt>
                <c:pt idx="591">
                  <c:v>-9.9457907373945553E-2</c:v>
                </c:pt>
                <c:pt idx="592">
                  <c:v>-8.5571425035273929E-2</c:v>
                </c:pt>
                <c:pt idx="593">
                  <c:v>-8.3417906383822071E-2</c:v>
                </c:pt>
                <c:pt idx="594">
                  <c:v>-8.3442659471769987E-2</c:v>
                </c:pt>
                <c:pt idx="595">
                  <c:v>-9.0423030273027449E-2</c:v>
                </c:pt>
                <c:pt idx="596">
                  <c:v>-9.3442907002649456E-2</c:v>
                </c:pt>
                <c:pt idx="597">
                  <c:v>-9.3145869947276694E-2</c:v>
                </c:pt>
                <c:pt idx="598">
                  <c:v>-8.8665561028739237E-2</c:v>
                </c:pt>
                <c:pt idx="599">
                  <c:v>-7.715537513304882E-2</c:v>
                </c:pt>
                <c:pt idx="600">
                  <c:v>-6.1486670462141069E-2</c:v>
                </c:pt>
                <c:pt idx="601">
                  <c:v>-6.1684695165722725E-2</c:v>
                </c:pt>
                <c:pt idx="602">
                  <c:v>-5.2922102032229135E-2</c:v>
                </c:pt>
                <c:pt idx="603">
                  <c:v>-4.5174385504592518E-2</c:v>
                </c:pt>
                <c:pt idx="604">
                  <c:v>-4.53971632961222E-2</c:v>
                </c:pt>
                <c:pt idx="605">
                  <c:v>-6.7402658481646505E-2</c:v>
                </c:pt>
                <c:pt idx="606">
                  <c:v>-7.0199757419739051E-2</c:v>
                </c:pt>
                <c:pt idx="607">
                  <c:v>-6.8714572142875685E-2</c:v>
                </c:pt>
                <c:pt idx="608">
                  <c:v>-6.2402534716207048E-2</c:v>
                </c:pt>
                <c:pt idx="609">
                  <c:v>-6.5521423797619938E-2</c:v>
                </c:pt>
                <c:pt idx="610">
                  <c:v>-6.7749201712914875E-2</c:v>
                </c:pt>
                <c:pt idx="611">
                  <c:v>-5.0768583380777943E-2</c:v>
                </c:pt>
                <c:pt idx="612">
                  <c:v>-5.0273521621823414E-2</c:v>
                </c:pt>
                <c:pt idx="613">
                  <c:v>-5.2476546449170547E-2</c:v>
                </c:pt>
                <c:pt idx="614">
                  <c:v>-7.3269140325256776E-2</c:v>
                </c:pt>
                <c:pt idx="615">
                  <c:v>-7.475432560211992E-2</c:v>
                </c:pt>
                <c:pt idx="616">
                  <c:v>-7.9086115992971107E-2</c:v>
                </c:pt>
                <c:pt idx="617">
                  <c:v>-7.1288893289438771E-2</c:v>
                </c:pt>
                <c:pt idx="618">
                  <c:v>-7.9185128344761768E-2</c:v>
                </c:pt>
                <c:pt idx="619">
                  <c:v>-8.9309141315379703E-2</c:v>
                </c:pt>
                <c:pt idx="620">
                  <c:v>-8.7625931334934792E-2</c:v>
                </c:pt>
                <c:pt idx="621">
                  <c:v>-9.3442907002649123E-2</c:v>
                </c:pt>
                <c:pt idx="622">
                  <c:v>-8.3269387856135468E-2</c:v>
                </c:pt>
                <c:pt idx="623">
                  <c:v>-9.299735141958998E-2</c:v>
                </c:pt>
                <c:pt idx="624">
                  <c:v>-0.1026015495433058</c:v>
                </c:pt>
                <c:pt idx="625">
                  <c:v>-0.11240377237060373</c:v>
                </c:pt>
                <c:pt idx="626">
                  <c:v>-0.11351766132825103</c:v>
                </c:pt>
                <c:pt idx="627">
                  <c:v>-9.9235129582415982E-2</c:v>
                </c:pt>
                <c:pt idx="628">
                  <c:v>-0.10052229015569747</c:v>
                </c:pt>
                <c:pt idx="629">
                  <c:v>-8.6338770761652861E-2</c:v>
                </c:pt>
                <c:pt idx="630">
                  <c:v>-0.10586895715240496</c:v>
                </c:pt>
                <c:pt idx="631">
                  <c:v>-9.893809252704322E-2</c:v>
                </c:pt>
                <c:pt idx="632">
                  <c:v>-9.2155746429367413E-2</c:v>
                </c:pt>
                <c:pt idx="633">
                  <c:v>-7.2328522983242549E-2</c:v>
                </c:pt>
                <c:pt idx="634">
                  <c:v>-6.7155127602168796E-2</c:v>
                </c:pt>
                <c:pt idx="635">
                  <c:v>-6.435802866407625E-2</c:v>
                </c:pt>
                <c:pt idx="636">
                  <c:v>-6.5348152181985308E-2</c:v>
                </c:pt>
                <c:pt idx="637">
                  <c:v>-6.4160003960494594E-2</c:v>
                </c:pt>
                <c:pt idx="638">
                  <c:v>-7.240278224708574E-2</c:v>
                </c:pt>
                <c:pt idx="639">
                  <c:v>-7.9036609817075165E-2</c:v>
                </c:pt>
                <c:pt idx="640">
                  <c:v>-7.7749449243793789E-2</c:v>
                </c:pt>
                <c:pt idx="641">
                  <c:v>-6.6882843634744171E-2</c:v>
                </c:pt>
                <c:pt idx="642">
                  <c:v>-7.7229634396891678E-2</c:v>
                </c:pt>
                <c:pt idx="643">
                  <c:v>-7.3714695908315364E-2</c:v>
                </c:pt>
                <c:pt idx="644">
                  <c:v>-6.61402509963126E-2</c:v>
                </c:pt>
                <c:pt idx="645">
                  <c:v>-8.2130745810540584E-2</c:v>
                </c:pt>
                <c:pt idx="646">
                  <c:v>-8.2502042129756314E-2</c:v>
                </c:pt>
                <c:pt idx="647">
                  <c:v>-8.4457536077626294E-2</c:v>
                </c:pt>
                <c:pt idx="648">
                  <c:v>-9.7650931953761733E-2</c:v>
                </c:pt>
                <c:pt idx="649">
                  <c:v>-0.11418599470283974</c:v>
                </c:pt>
                <c:pt idx="650">
                  <c:v>-0.11406222926310117</c:v>
                </c:pt>
                <c:pt idx="651">
                  <c:v>-0.10985420431198845</c:v>
                </c:pt>
                <c:pt idx="652">
                  <c:v>-0.12322087180375818</c:v>
                </c:pt>
                <c:pt idx="653">
                  <c:v>-0.12116636550409721</c:v>
                </c:pt>
                <c:pt idx="654">
                  <c:v>-0.11381469838362401</c:v>
                </c:pt>
                <c:pt idx="655">
                  <c:v>-0.11317111809698321</c:v>
                </c:pt>
                <c:pt idx="656">
                  <c:v>-0.10576994480061441</c:v>
                </c:pt>
                <c:pt idx="657">
                  <c:v>-0.12146340255946986</c:v>
                </c:pt>
                <c:pt idx="658">
                  <c:v>-0.10950766108072041</c:v>
                </c:pt>
                <c:pt idx="659">
                  <c:v>-0.11213148840317888</c:v>
                </c:pt>
                <c:pt idx="660">
                  <c:v>-9.7254882546598309E-2</c:v>
                </c:pt>
                <c:pt idx="661">
                  <c:v>-9.2650808188322054E-2</c:v>
                </c:pt>
                <c:pt idx="662">
                  <c:v>-8.7625931334934792E-2</c:v>
                </c:pt>
                <c:pt idx="663">
                  <c:v>-8.1115869204683944E-2</c:v>
                </c:pt>
                <c:pt idx="664">
                  <c:v>-8.4309017549940024E-2</c:v>
                </c:pt>
                <c:pt idx="665">
                  <c:v>-9.5819203445630663E-2</c:v>
                </c:pt>
                <c:pt idx="666">
                  <c:v>-8.5596178123221511E-2</c:v>
                </c:pt>
                <c:pt idx="667">
                  <c:v>-8.8591301764895825E-2</c:v>
                </c:pt>
                <c:pt idx="668">
                  <c:v>-0.10054704324364527</c:v>
                </c:pt>
                <c:pt idx="669">
                  <c:v>-0.1089630931458706</c:v>
                </c:pt>
                <c:pt idx="670">
                  <c:v>-0.12225550137379704</c:v>
                </c:pt>
                <c:pt idx="671">
                  <c:v>-0.11960692096339098</c:v>
                </c:pt>
                <c:pt idx="672">
                  <c:v>-0.11104235253347949</c:v>
                </c:pt>
                <c:pt idx="673">
                  <c:v>-0.13280031683952676</c:v>
                </c:pt>
                <c:pt idx="674">
                  <c:v>-0.14933537958860454</c:v>
                </c:pt>
                <c:pt idx="675">
                  <c:v>-0.14525112007723051</c:v>
                </c:pt>
                <c:pt idx="676">
                  <c:v>-0.13562216886556677</c:v>
                </c:pt>
                <c:pt idx="677">
                  <c:v>-0.13148840317829735</c:v>
                </c:pt>
                <c:pt idx="678">
                  <c:v>-0.11641377261813501</c:v>
                </c:pt>
                <c:pt idx="679">
                  <c:v>-0.10037377162801153</c:v>
                </c:pt>
                <c:pt idx="680">
                  <c:v>-8.9804203074334565E-2</c:v>
                </c:pt>
                <c:pt idx="681">
                  <c:v>-8.6091239882176263E-2</c:v>
                </c:pt>
                <c:pt idx="682">
                  <c:v>-7.7452412188421471E-2</c:v>
                </c:pt>
                <c:pt idx="683">
                  <c:v>-7.6858338077676058E-2</c:v>
                </c:pt>
                <c:pt idx="684">
                  <c:v>-8.3962474318672098E-2</c:v>
                </c:pt>
                <c:pt idx="685">
                  <c:v>-6.3367905146167969E-2</c:v>
                </c:pt>
                <c:pt idx="686">
                  <c:v>-6.6288769523999092E-2</c:v>
                </c:pt>
                <c:pt idx="687">
                  <c:v>-4.618926211044927E-2</c:v>
                </c:pt>
                <c:pt idx="688">
                  <c:v>-4.547142255996528E-2</c:v>
                </c:pt>
                <c:pt idx="689">
                  <c:v>-4.4654570657690518E-2</c:v>
                </c:pt>
                <c:pt idx="690">
                  <c:v>-4.4431792866161057E-2</c:v>
                </c:pt>
                <c:pt idx="691">
                  <c:v>-3.2797841530732064E-2</c:v>
                </c:pt>
                <c:pt idx="692">
                  <c:v>-3.8416792494864738E-2</c:v>
                </c:pt>
                <c:pt idx="693">
                  <c:v>-3.4481051511177085E-2</c:v>
                </c:pt>
                <c:pt idx="694">
                  <c:v>-3.5842471348301874E-2</c:v>
                </c:pt>
                <c:pt idx="695">
                  <c:v>-3.6684076338524441E-2</c:v>
                </c:pt>
                <c:pt idx="696">
                  <c:v>-3.4159261367856963E-2</c:v>
                </c:pt>
                <c:pt idx="697">
                  <c:v>-3.5099878709870413E-2</c:v>
                </c:pt>
                <c:pt idx="698">
                  <c:v>-3.7525681328747118E-2</c:v>
                </c:pt>
                <c:pt idx="699">
                  <c:v>-3.4778088566549958E-2</c:v>
                </c:pt>
                <c:pt idx="700">
                  <c:v>-4.3738706403625094E-2</c:v>
                </c:pt>
                <c:pt idx="701">
                  <c:v>-4.1337656872695971E-2</c:v>
                </c:pt>
                <c:pt idx="702">
                  <c:v>-4.6882348572985566E-2</c:v>
                </c:pt>
                <c:pt idx="703">
                  <c:v>-3.3565187257111329E-2</c:v>
                </c:pt>
                <c:pt idx="704">
                  <c:v>-2.9258149954207613E-2</c:v>
                </c:pt>
                <c:pt idx="705">
                  <c:v>-2.096586549172097E-2</c:v>
                </c:pt>
                <c:pt idx="706">
                  <c:v>-1.3168642788188634E-2</c:v>
                </c:pt>
                <c:pt idx="707">
                  <c:v>-6.1882719869377212E-4</c:v>
                </c:pt>
                <c:pt idx="708">
                  <c:v>-1.4851852768642537E-3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-1.4859712581875129E-2</c:v>
                </c:pt>
                <c:pt idx="713">
                  <c:v>-3.3972040277643334E-3</c:v>
                </c:pt>
                <c:pt idx="714">
                  <c:v>-1.9063447062275252E-3</c:v>
                </c:pt>
                <c:pt idx="715">
                  <c:v>0</c:v>
                </c:pt>
                <c:pt idx="716">
                  <c:v>0</c:v>
                </c:pt>
                <c:pt idx="717">
                  <c:v>-4.86026731470246E-4</c:v>
                </c:pt>
                <c:pt idx="718">
                  <c:v>-4.8116646415553577E-3</c:v>
                </c:pt>
                <c:pt idx="719">
                  <c:v>-2.1652490886998943E-2</c:v>
                </c:pt>
                <c:pt idx="720">
                  <c:v>-3.2004860267314861E-2</c:v>
                </c:pt>
                <c:pt idx="721">
                  <c:v>-3.6986634264884688E-2</c:v>
                </c:pt>
                <c:pt idx="722">
                  <c:v>-3.5844471445929615E-2</c:v>
                </c:pt>
                <c:pt idx="723">
                  <c:v>-1.5917375455650307E-2</c:v>
                </c:pt>
                <c:pt idx="724">
                  <c:v>-1.3973268529769212E-2</c:v>
                </c:pt>
                <c:pt idx="725">
                  <c:v>-7.290400972053579E-3</c:v>
                </c:pt>
                <c:pt idx="726">
                  <c:v>-5.2247873633051167E-3</c:v>
                </c:pt>
                <c:pt idx="727">
                  <c:v>-4.7144592952612641E-3</c:v>
                </c:pt>
                <c:pt idx="728">
                  <c:v>-4.8116646415553577E-3</c:v>
                </c:pt>
                <c:pt idx="729">
                  <c:v>-1.0425273390036516E-2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-5.9575466166296165E-3</c:v>
                </c:pt>
                <c:pt idx="737">
                  <c:v>0</c:v>
                </c:pt>
                <c:pt idx="738">
                  <c:v>-6.6565456031764114E-3</c:v>
                </c:pt>
                <c:pt idx="739">
                  <c:v>-2.6112343804741256E-2</c:v>
                </c:pt>
                <c:pt idx="740">
                  <c:v>-1.4644400326988327E-2</c:v>
                </c:pt>
                <c:pt idx="741">
                  <c:v>0</c:v>
                </c:pt>
                <c:pt idx="742">
                  <c:v>-1.3053308780681672E-3</c:v>
                </c:pt>
                <c:pt idx="743">
                  <c:v>-3.3099461551013842E-3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-3.9125958128362059E-3</c:v>
                </c:pt>
                <c:pt idx="748">
                  <c:v>-1.9448575677840085E-2</c:v>
                </c:pt>
                <c:pt idx="749">
                  <c:v>-8.7632993936621606E-3</c:v>
                </c:pt>
                <c:pt idx="750">
                  <c:v>-5.8116920260842253E-3</c:v>
                </c:pt>
                <c:pt idx="751">
                  <c:v>-1.4826678869694798E-2</c:v>
                </c:pt>
                <c:pt idx="752">
                  <c:v>-2.226289898181022E-2</c:v>
                </c:pt>
                <c:pt idx="753">
                  <c:v>-2.6175494794646204E-2</c:v>
                </c:pt>
                <c:pt idx="754">
                  <c:v>0</c:v>
                </c:pt>
                <c:pt idx="755">
                  <c:v>-2.9447348597256839E-3</c:v>
                </c:pt>
                <c:pt idx="756">
                  <c:v>-3.4697651060332513E-3</c:v>
                </c:pt>
                <c:pt idx="757">
                  <c:v>-1.0728878946287823E-3</c:v>
                </c:pt>
                <c:pt idx="758">
                  <c:v>-6.3916725637456206E-3</c:v>
                </c:pt>
                <c:pt idx="759">
                  <c:v>0</c:v>
                </c:pt>
                <c:pt idx="760">
                  <c:v>0</c:v>
                </c:pt>
                <c:pt idx="761">
                  <c:v>-3.56814254617277E-3</c:v>
                </c:pt>
                <c:pt idx="762">
                  <c:v>-2.1453737573214227E-2</c:v>
                </c:pt>
                <c:pt idx="763">
                  <c:v>-1.5304862996790902E-2</c:v>
                </c:pt>
                <c:pt idx="764">
                  <c:v>-3.5905836942617952E-4</c:v>
                </c:pt>
                <c:pt idx="765">
                  <c:v>-1.478871659074088E-2</c:v>
                </c:pt>
                <c:pt idx="766">
                  <c:v>-1.8446623729269973E-2</c:v>
                </c:pt>
                <c:pt idx="767">
                  <c:v>-4.3760238773814519E-3</c:v>
                </c:pt>
                <c:pt idx="768">
                  <c:v>-1.2028455375777014E-2</c:v>
                </c:pt>
                <c:pt idx="769">
                  <c:v>-1.4519422813671135E-2</c:v>
                </c:pt>
                <c:pt idx="770">
                  <c:v>-2.6233702116200242E-2</c:v>
                </c:pt>
                <c:pt idx="771">
                  <c:v>-1.8244653396467747E-2</c:v>
                </c:pt>
                <c:pt idx="772">
                  <c:v>-1.5798568254751899E-2</c:v>
                </c:pt>
                <c:pt idx="773">
                  <c:v>-4.1291712484011756E-3</c:v>
                </c:pt>
                <c:pt idx="774">
                  <c:v>0</c:v>
                </c:pt>
                <c:pt idx="775">
                  <c:v>0</c:v>
                </c:pt>
                <c:pt idx="776">
                  <c:v>-3.6291948564003418E-3</c:v>
                </c:pt>
                <c:pt idx="777">
                  <c:v>-6.8551458398673493E-3</c:v>
                </c:pt>
                <c:pt idx="778">
                  <c:v>-3.4723777947041068E-3</c:v>
                </c:pt>
                <c:pt idx="779">
                  <c:v>-5.3093776602894938E-3</c:v>
                </c:pt>
                <c:pt idx="780">
                  <c:v>-3.2035485460818469E-3</c:v>
                </c:pt>
                <c:pt idx="781">
                  <c:v>-1.180608450199383E-2</c:v>
                </c:pt>
                <c:pt idx="782">
                  <c:v>-9.5882432008601581E-3</c:v>
                </c:pt>
                <c:pt idx="783">
                  <c:v>-2.473229087324702E-2</c:v>
                </c:pt>
                <c:pt idx="784">
                  <c:v>-1.323984049464566E-2</c:v>
                </c:pt>
                <c:pt idx="785">
                  <c:v>-1.294860880863824E-2</c:v>
                </c:pt>
                <c:pt idx="786">
                  <c:v>-9.2970115148526267E-3</c:v>
                </c:pt>
                <c:pt idx="787">
                  <c:v>-1.7944352345535042E-2</c:v>
                </c:pt>
                <c:pt idx="788">
                  <c:v>-2.2626461759038818E-3</c:v>
                </c:pt>
                <c:pt idx="789">
                  <c:v>-1.8168376719387092E-2</c:v>
                </c:pt>
                <c:pt idx="790">
                  <c:v>-3.4320534074107401E-2</c:v>
                </c:pt>
                <c:pt idx="791">
                  <c:v>-3.4230924324566536E-2</c:v>
                </c:pt>
                <c:pt idx="792">
                  <c:v>-4.6014606389175317E-2</c:v>
                </c:pt>
                <c:pt idx="793">
                  <c:v>-5.1458398673775774E-2</c:v>
                </c:pt>
                <c:pt idx="794">
                  <c:v>-7.1082933823200078E-2</c:v>
                </c:pt>
                <c:pt idx="795">
                  <c:v>-6.1741117433576909E-2</c:v>
                </c:pt>
                <c:pt idx="796">
                  <c:v>-4.7739594067834901E-2</c:v>
                </c:pt>
                <c:pt idx="797">
                  <c:v>-4.4513643084367893E-2</c:v>
                </c:pt>
                <c:pt idx="798">
                  <c:v>-4.912854518571641E-2</c:v>
                </c:pt>
                <c:pt idx="799">
                  <c:v>-3.4454948698418697E-2</c:v>
                </c:pt>
                <c:pt idx="800">
                  <c:v>-3.0534522156010935E-2</c:v>
                </c:pt>
                <c:pt idx="801">
                  <c:v>-4.8814911062324051E-2</c:v>
                </c:pt>
                <c:pt idx="802">
                  <c:v>-5.569245933957645E-2</c:v>
                </c:pt>
                <c:pt idx="803">
                  <c:v>-4.3639948026345521E-2</c:v>
                </c:pt>
                <c:pt idx="804">
                  <c:v>-2.441865674985455E-2</c:v>
                </c:pt>
                <c:pt idx="805">
                  <c:v>-1.3732694117120303E-2</c:v>
                </c:pt>
                <c:pt idx="806">
                  <c:v>-1.3575877055424068E-2</c:v>
                </c:pt>
                <c:pt idx="807">
                  <c:v>-1.4158340427438909E-2</c:v>
                </c:pt>
                <c:pt idx="808">
                  <c:v>-1.2007706438461052E-2</c:v>
                </c:pt>
                <c:pt idx="809">
                  <c:v>-9.6778529504015776E-3</c:v>
                </c:pt>
                <c:pt idx="810">
                  <c:v>-7.3928043371124241E-3</c:v>
                </c:pt>
                <c:pt idx="811">
                  <c:v>-1.0081096823340019E-3</c:v>
                </c:pt>
                <c:pt idx="812">
                  <c:v>0</c:v>
                </c:pt>
                <c:pt idx="813">
                  <c:v>-2.0313534996687643E-3</c:v>
                </c:pt>
                <c:pt idx="814">
                  <c:v>-2.5171119452418456E-3</c:v>
                </c:pt>
                <c:pt idx="815">
                  <c:v>0</c:v>
                </c:pt>
                <c:pt idx="816">
                  <c:v>0</c:v>
                </c:pt>
                <c:pt idx="817">
                  <c:v>-1.9745502413348603E-4</c:v>
                </c:pt>
                <c:pt idx="818">
                  <c:v>-4.6950416849494969E-3</c:v>
                </c:pt>
                <c:pt idx="819">
                  <c:v>0</c:v>
                </c:pt>
                <c:pt idx="820">
                  <c:v>0</c:v>
                </c:pt>
                <c:pt idx="821">
                  <c:v>-7.0483814827706492E-3</c:v>
                </c:pt>
                <c:pt idx="822">
                  <c:v>-1.7686216498433716E-2</c:v>
                </c:pt>
                <c:pt idx="823">
                  <c:v>-1.9513574660633637E-2</c:v>
                </c:pt>
                <c:pt idx="824">
                  <c:v>-1.4249042812391255E-2</c:v>
                </c:pt>
                <c:pt idx="825">
                  <c:v>-1.1551514096762916E-2</c:v>
                </c:pt>
                <c:pt idx="826">
                  <c:v>0</c:v>
                </c:pt>
                <c:pt idx="827">
                  <c:v>-3.4517722693239161E-4</c:v>
                </c:pt>
                <c:pt idx="828">
                  <c:v>-1.2296938709468463E-3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-7.7080027204713408E-3</c:v>
                </c:pt>
                <c:pt idx="837">
                  <c:v>-1.0366645370045835E-2</c:v>
                </c:pt>
                <c:pt idx="838">
                  <c:v>-2.3185837060241798E-2</c:v>
                </c:pt>
                <c:pt idx="839">
                  <c:v>-1.2015416005440649E-2</c:v>
                </c:pt>
                <c:pt idx="840">
                  <c:v>-9.9750623441392516E-3</c:v>
                </c:pt>
                <c:pt idx="841">
                  <c:v>-7.4194678592770513E-3</c:v>
                </c:pt>
                <c:pt idx="842">
                  <c:v>-1.2571876094886414E-2</c:v>
                </c:pt>
                <c:pt idx="843">
                  <c:v>-6.7805692380614735E-3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-2.1930173373628015E-2</c:v>
                </c:pt>
                <c:pt idx="851">
                  <c:v>-1.6184189597582166E-2</c:v>
                </c:pt>
                <c:pt idx="852">
                  <c:v>-1.3539844122792966E-2</c:v>
                </c:pt>
                <c:pt idx="853">
                  <c:v>-1.3162080483537397E-2</c:v>
                </c:pt>
                <c:pt idx="854">
                  <c:v>-4.2130586925401725E-2</c:v>
                </c:pt>
                <c:pt idx="855">
                  <c:v>-4.6663750596468878E-2</c:v>
                </c:pt>
                <c:pt idx="856">
                  <c:v>-5.5113726737712754E-2</c:v>
                </c:pt>
                <c:pt idx="857">
                  <c:v>-4.1037060601240793E-2</c:v>
                </c:pt>
                <c:pt idx="858">
                  <c:v>-4.4417051057738299E-2</c:v>
                </c:pt>
                <c:pt idx="859">
                  <c:v>-7.869413074598397E-2</c:v>
                </c:pt>
                <c:pt idx="860">
                  <c:v>-8.8853984412279541E-2</c:v>
                </c:pt>
                <c:pt idx="861">
                  <c:v>-7.9509304914904044E-2</c:v>
                </c:pt>
                <c:pt idx="862">
                  <c:v>-7.7660251312232087E-2</c:v>
                </c:pt>
                <c:pt idx="863">
                  <c:v>-9.0325274375696263E-2</c:v>
                </c:pt>
                <c:pt idx="864">
                  <c:v>-6.3404644504533425E-2</c:v>
                </c:pt>
                <c:pt idx="865">
                  <c:v>-8.6090345156672687E-2</c:v>
                </c:pt>
                <c:pt idx="866">
                  <c:v>-0.10778193096866584</c:v>
                </c:pt>
                <c:pt idx="867">
                  <c:v>-0.13438444409098171</c:v>
                </c:pt>
                <c:pt idx="868">
                  <c:v>-0.12611340862096432</c:v>
                </c:pt>
                <c:pt idx="869">
                  <c:v>-0.13557738189915736</c:v>
                </c:pt>
                <c:pt idx="870">
                  <c:v>-0.10913392715126491</c:v>
                </c:pt>
                <c:pt idx="871">
                  <c:v>-0.10448146969937988</c:v>
                </c:pt>
                <c:pt idx="872">
                  <c:v>-0.10255288690949604</c:v>
                </c:pt>
                <c:pt idx="873">
                  <c:v>-8.0284714490218123E-2</c:v>
                </c:pt>
                <c:pt idx="874">
                  <c:v>-7.9986480038174212E-2</c:v>
                </c:pt>
                <c:pt idx="875">
                  <c:v>-5.6744075075552902E-2</c:v>
                </c:pt>
                <c:pt idx="876">
                  <c:v>-5.553125497057454E-2</c:v>
                </c:pt>
                <c:pt idx="877">
                  <c:v>-4.312470176554839E-2</c:v>
                </c:pt>
                <c:pt idx="878">
                  <c:v>-4.5132813742643885E-2</c:v>
                </c:pt>
                <c:pt idx="879">
                  <c:v>-4.0679179258788278E-2</c:v>
                </c:pt>
                <c:pt idx="880">
                  <c:v>-5.5889136313027166E-2</c:v>
                </c:pt>
                <c:pt idx="881">
                  <c:v>-4.5649753459520048E-2</c:v>
                </c:pt>
                <c:pt idx="882">
                  <c:v>-5.4914903769683998E-2</c:v>
                </c:pt>
                <c:pt idx="883">
                  <c:v>-5.2091617623668429E-2</c:v>
                </c:pt>
                <c:pt idx="884">
                  <c:v>-6.284794019405171E-2</c:v>
                </c:pt>
                <c:pt idx="885">
                  <c:v>-6.4219818673453721E-2</c:v>
                </c:pt>
                <c:pt idx="886">
                  <c:v>-5.306585016701193E-2</c:v>
                </c:pt>
                <c:pt idx="887">
                  <c:v>-8.1815651344043894E-2</c:v>
                </c:pt>
                <c:pt idx="888">
                  <c:v>-8.4201526960394957E-2</c:v>
                </c:pt>
                <c:pt idx="889">
                  <c:v>-8.3346588197869109E-2</c:v>
                </c:pt>
                <c:pt idx="890">
                  <c:v>-0.1079012247494836</c:v>
                </c:pt>
                <c:pt idx="891">
                  <c:v>-9.6429139494195071E-2</c:v>
                </c:pt>
                <c:pt idx="892">
                  <c:v>-8.8078574836965795E-2</c:v>
                </c:pt>
                <c:pt idx="893">
                  <c:v>-6.8275807221251039E-2</c:v>
                </c:pt>
                <c:pt idx="894">
                  <c:v>-5.9129950691904742E-2</c:v>
                </c:pt>
                <c:pt idx="895">
                  <c:v>-5.4914903769684331E-2</c:v>
                </c:pt>
                <c:pt idx="896">
                  <c:v>-5.9090186098298969E-2</c:v>
                </c:pt>
                <c:pt idx="897">
                  <c:v>-5.8593128678225859E-2</c:v>
                </c:pt>
                <c:pt idx="898">
                  <c:v>-6.2668999522826008E-2</c:v>
                </c:pt>
                <c:pt idx="899">
                  <c:v>-3.896930173373736E-2</c:v>
                </c:pt>
                <c:pt idx="900">
                  <c:v>-4.0798473039606598E-2</c:v>
                </c:pt>
                <c:pt idx="901">
                  <c:v>-3.9605535231431066E-2</c:v>
                </c:pt>
                <c:pt idx="902">
                  <c:v>-3.4972960076349202E-2</c:v>
                </c:pt>
                <c:pt idx="903">
                  <c:v>-3.4078256720217581E-2</c:v>
                </c:pt>
                <c:pt idx="904">
                  <c:v>-2.6821218387149126E-2</c:v>
                </c:pt>
                <c:pt idx="905">
                  <c:v>-3.2229203117545291E-2</c:v>
                </c:pt>
                <c:pt idx="906">
                  <c:v>-2.9604739939559033E-2</c:v>
                </c:pt>
                <c:pt idx="907">
                  <c:v>-4.3124701765549056E-2</c:v>
                </c:pt>
                <c:pt idx="908">
                  <c:v>-4.1772705582950098E-2</c:v>
                </c:pt>
                <c:pt idx="909">
                  <c:v>-4.2488468267855461E-2</c:v>
                </c:pt>
                <c:pt idx="910">
                  <c:v>-3.1095912199778475E-2</c:v>
                </c:pt>
                <c:pt idx="911">
                  <c:v>-4.1474471130906188E-2</c:v>
                </c:pt>
                <c:pt idx="912">
                  <c:v>-2.7159217432798921E-2</c:v>
                </c:pt>
                <c:pt idx="913">
                  <c:v>-1.9504533163672289E-2</c:v>
                </c:pt>
                <c:pt idx="914">
                  <c:v>-2.0617941784636162E-2</c:v>
                </c:pt>
                <c:pt idx="915">
                  <c:v>-1.9087004930810614E-2</c:v>
                </c:pt>
                <c:pt idx="916">
                  <c:v>-1.0855734054399102E-2</c:v>
                </c:pt>
                <c:pt idx="917">
                  <c:v>-2.4077461428345437E-2</c:v>
                </c:pt>
                <c:pt idx="918">
                  <c:v>-2.3958167647527784E-2</c:v>
                </c:pt>
                <c:pt idx="919">
                  <c:v>-2.3282169556228305E-2</c:v>
                </c:pt>
                <c:pt idx="920">
                  <c:v>-1.6880069985685808E-2</c:v>
                </c:pt>
                <c:pt idx="921">
                  <c:v>-1.4991251789407967E-2</c:v>
                </c:pt>
                <c:pt idx="922">
                  <c:v>-1.3917607762049755E-2</c:v>
                </c:pt>
                <c:pt idx="923">
                  <c:v>-2.9028153332273932E-2</c:v>
                </c:pt>
                <c:pt idx="924">
                  <c:v>-2.1154763798315046E-2</c:v>
                </c:pt>
                <c:pt idx="925">
                  <c:v>-1.5190074757436944E-2</c:v>
                </c:pt>
                <c:pt idx="926">
                  <c:v>-1.5031016383013518E-2</c:v>
                </c:pt>
                <c:pt idx="927">
                  <c:v>-5.5670431048202573E-3</c:v>
                </c:pt>
                <c:pt idx="928">
                  <c:v>-1.3082551296326517E-2</c:v>
                </c:pt>
                <c:pt idx="929">
                  <c:v>-3.7995069190393638E-2</c:v>
                </c:pt>
                <c:pt idx="930">
                  <c:v>-3.0877206934945889E-2</c:v>
                </c:pt>
                <c:pt idx="931">
                  <c:v>-3.3700493080961569E-2</c:v>
                </c:pt>
                <c:pt idx="932">
                  <c:v>-2.1373469063146966E-2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-5.8349865795315203E-4</c:v>
                </c:pt>
                <c:pt idx="937">
                  <c:v>-2.3923444976077235E-3</c:v>
                </c:pt>
                <c:pt idx="938">
                  <c:v>-3.6760415451043693E-3</c:v>
                </c:pt>
                <c:pt idx="939">
                  <c:v>-1.0600225619481041E-2</c:v>
                </c:pt>
                <c:pt idx="940">
                  <c:v>-3.4173571400785807E-2</c:v>
                </c:pt>
                <c:pt idx="941">
                  <c:v>-2.7463336834325336E-2</c:v>
                </c:pt>
                <c:pt idx="942">
                  <c:v>-2.0772552223129903E-2</c:v>
                </c:pt>
                <c:pt idx="943">
                  <c:v>-2.1336600925817795E-2</c:v>
                </c:pt>
                <c:pt idx="944">
                  <c:v>-1.7816159022834177E-2</c:v>
                </c:pt>
                <c:pt idx="945">
                  <c:v>-1.6240712646360955E-2</c:v>
                </c:pt>
                <c:pt idx="946">
                  <c:v>-1.4684716225152883E-2</c:v>
                </c:pt>
                <c:pt idx="947">
                  <c:v>-9.3943283930446597E-3</c:v>
                </c:pt>
                <c:pt idx="948">
                  <c:v>-1.7193760454350948E-2</c:v>
                </c:pt>
                <c:pt idx="949">
                  <c:v>-8.5579803166452306E-3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-2.7710889423996354E-3</c:v>
                </c:pt>
                <c:pt idx="954">
                  <c:v>0</c:v>
                </c:pt>
                <c:pt idx="955">
                  <c:v>-7.787570278073308E-3</c:v>
                </c:pt>
                <c:pt idx="956">
                  <c:v>-1.1168515423187975E-2</c:v>
                </c:pt>
                <c:pt idx="957">
                  <c:v>0</c:v>
                </c:pt>
                <c:pt idx="958">
                  <c:v>-6.4538043478260532E-3</c:v>
                </c:pt>
                <c:pt idx="959">
                  <c:v>0</c:v>
                </c:pt>
                <c:pt idx="960">
                  <c:v>0</c:v>
                </c:pt>
                <c:pt idx="961">
                  <c:v>-4.4038129215675514E-3</c:v>
                </c:pt>
                <c:pt idx="962">
                  <c:v>-4.0321831391567531E-2</c:v>
                </c:pt>
                <c:pt idx="963">
                  <c:v>-4.4595573889291473E-2</c:v>
                </c:pt>
                <c:pt idx="964">
                  <c:v>-3.625248527416991E-2</c:v>
                </c:pt>
                <c:pt idx="965">
                  <c:v>-2.8429678354423338E-2</c:v>
                </c:pt>
                <c:pt idx="966">
                  <c:v>-1.5255402567961873E-2</c:v>
                </c:pt>
                <c:pt idx="967">
                  <c:v>-1.592433617630129E-2</c:v>
                </c:pt>
                <c:pt idx="968">
                  <c:v>-2.9005704517160225E-2</c:v>
                </c:pt>
                <c:pt idx="969">
                  <c:v>-4.1919839455934138E-2</c:v>
                </c:pt>
                <c:pt idx="970">
                  <c:v>-5.0058531690729935E-2</c:v>
                </c:pt>
                <c:pt idx="971">
                  <c:v>-5.1916680602783649E-2</c:v>
                </c:pt>
                <c:pt idx="972">
                  <c:v>-3.6401137187134336E-2</c:v>
                </c:pt>
                <c:pt idx="973">
                  <c:v>-2.5326569671293764E-2</c:v>
                </c:pt>
                <c:pt idx="974">
                  <c:v>-4.2718843488117608E-2</c:v>
                </c:pt>
                <c:pt idx="975">
                  <c:v>-4.2551610086032698E-2</c:v>
                </c:pt>
                <c:pt idx="976">
                  <c:v>-5.7565453295427393E-2</c:v>
                </c:pt>
                <c:pt idx="977">
                  <c:v>-6.0594236022075032E-2</c:v>
                </c:pt>
                <c:pt idx="978">
                  <c:v>-6.1486147499861032E-2</c:v>
                </c:pt>
                <c:pt idx="979">
                  <c:v>-3.9894457141795625E-2</c:v>
                </c:pt>
                <c:pt idx="980">
                  <c:v>-4.6620956203430541E-2</c:v>
                </c:pt>
                <c:pt idx="981">
                  <c:v>-3.0529386625044563E-2</c:v>
                </c:pt>
                <c:pt idx="982">
                  <c:v>-2.4843450954159962E-2</c:v>
                </c:pt>
                <c:pt idx="983">
                  <c:v>-1.2375271754278772E-2</c:v>
                </c:pt>
                <c:pt idx="984">
                  <c:v>-1.0275563483658101E-2</c:v>
                </c:pt>
                <c:pt idx="985">
                  <c:v>-1.5868591708940061E-2</c:v>
                </c:pt>
                <c:pt idx="986">
                  <c:v>-4.452124793280976E-2</c:v>
                </c:pt>
                <c:pt idx="987">
                  <c:v>-3.0399316201200954E-2</c:v>
                </c:pt>
                <c:pt idx="988">
                  <c:v>-3.2220302135013479E-2</c:v>
                </c:pt>
                <c:pt idx="989">
                  <c:v>-2.8095211550254184E-2</c:v>
                </c:pt>
                <c:pt idx="990">
                  <c:v>-2.9507404723415176E-2</c:v>
                </c:pt>
                <c:pt idx="991">
                  <c:v>-3.7274467175800075E-2</c:v>
                </c:pt>
                <c:pt idx="992">
                  <c:v>-2.5456640095137706E-2</c:v>
                </c:pt>
                <c:pt idx="993">
                  <c:v>-2.1034245684449671E-2</c:v>
                </c:pt>
                <c:pt idx="994">
                  <c:v>-1.5924336176301512E-2</c:v>
                </c:pt>
                <c:pt idx="995">
                  <c:v>-2.833677090882103E-2</c:v>
                </c:pt>
                <c:pt idx="996">
                  <c:v>-1.6574688295520557E-2</c:v>
                </c:pt>
                <c:pt idx="997">
                  <c:v>-1.8915955924708294E-2</c:v>
                </c:pt>
                <c:pt idx="998">
                  <c:v>-1.8339929761971741E-2</c:v>
                </c:pt>
                <c:pt idx="999">
                  <c:v>-4.217998030362935E-3</c:v>
                </c:pt>
                <c:pt idx="1000">
                  <c:v>-3.7162978241855882E-5</c:v>
                </c:pt>
                <c:pt idx="1001">
                  <c:v>0</c:v>
                </c:pt>
                <c:pt idx="1002">
                  <c:v>0</c:v>
                </c:pt>
                <c:pt idx="1003">
                  <c:v>-4.2445136417555984E-3</c:v>
                </c:pt>
                <c:pt idx="1004">
                  <c:v>-2.4911032028469671E-2</c:v>
                </c:pt>
                <c:pt idx="1005">
                  <c:v>-3.6421263345195687E-2</c:v>
                </c:pt>
                <c:pt idx="1006">
                  <c:v>-4.8561684460260768E-2</c:v>
                </c:pt>
                <c:pt idx="1007">
                  <c:v>-4.6263345195729388E-2</c:v>
                </c:pt>
                <c:pt idx="1008">
                  <c:v>-7.2749851720047221E-2</c:v>
                </c:pt>
                <c:pt idx="1009">
                  <c:v>-5.8107206405693779E-2</c:v>
                </c:pt>
                <c:pt idx="1010">
                  <c:v>-7.8718119810201492E-2</c:v>
                </c:pt>
                <c:pt idx="1011">
                  <c:v>-8.1498368920521758E-2</c:v>
                </c:pt>
                <c:pt idx="1012">
                  <c:v>-6.9524762752075753E-2</c:v>
                </c:pt>
                <c:pt idx="1013">
                  <c:v>-9.5121589561091291E-2</c:v>
                </c:pt>
                <c:pt idx="1014">
                  <c:v>-8.8467526690391152E-2</c:v>
                </c:pt>
                <c:pt idx="1015">
                  <c:v>-0.12379522538552756</c:v>
                </c:pt>
                <c:pt idx="1016">
                  <c:v>-0.12588967971530218</c:v>
                </c:pt>
                <c:pt idx="1017">
                  <c:v>-0.11602906287069958</c:v>
                </c:pt>
                <c:pt idx="1018">
                  <c:v>-0.13193208778173171</c:v>
                </c:pt>
                <c:pt idx="1019">
                  <c:v>-0.11095047449584783</c:v>
                </c:pt>
                <c:pt idx="1020">
                  <c:v>-0.10518609134045054</c:v>
                </c:pt>
                <c:pt idx="1021">
                  <c:v>-0.12044039145907437</c:v>
                </c:pt>
                <c:pt idx="1022">
                  <c:v>-0.10867067022538524</c:v>
                </c:pt>
                <c:pt idx="1023">
                  <c:v>-0.11169187425860005</c:v>
                </c:pt>
                <c:pt idx="1024">
                  <c:v>-0.10876334519572939</c:v>
                </c:pt>
                <c:pt idx="1025">
                  <c:v>-9.0561981020165883E-2</c:v>
                </c:pt>
                <c:pt idx="1026">
                  <c:v>-8.5372182680901521E-2</c:v>
                </c:pt>
                <c:pt idx="1027">
                  <c:v>-0.10220195729537374</c:v>
                </c:pt>
                <c:pt idx="1028">
                  <c:v>-0.10731761565836306</c:v>
                </c:pt>
                <c:pt idx="1029">
                  <c:v>-0.13081998813760387</c:v>
                </c:pt>
                <c:pt idx="1030">
                  <c:v>-0.13085705812574144</c:v>
                </c:pt>
                <c:pt idx="1031">
                  <c:v>-0.12385083036773425</c:v>
                </c:pt>
                <c:pt idx="1032">
                  <c:v>-0.11745625741399768</c:v>
                </c:pt>
                <c:pt idx="1033">
                  <c:v>-0.16470195729537351</c:v>
                </c:pt>
                <c:pt idx="1034">
                  <c:v>-0.21658140569395012</c:v>
                </c:pt>
                <c:pt idx="1035">
                  <c:v>-0.21469083629893226</c:v>
                </c:pt>
                <c:pt idx="1036">
                  <c:v>-0.22883303677342803</c:v>
                </c:pt>
                <c:pt idx="1037">
                  <c:v>-0.13626927639383124</c:v>
                </c:pt>
                <c:pt idx="1038">
                  <c:v>-0.17300563463819663</c:v>
                </c:pt>
                <c:pt idx="1039">
                  <c:v>-0.15776986951364169</c:v>
                </c:pt>
                <c:pt idx="1040">
                  <c:v>-0.15206109134045054</c:v>
                </c:pt>
                <c:pt idx="1041">
                  <c:v>-0.15111580664294166</c:v>
                </c:pt>
                <c:pt idx="1042">
                  <c:v>-0.1767126334519572</c:v>
                </c:pt>
                <c:pt idx="1043">
                  <c:v>-0.17686091340450749</c:v>
                </c:pt>
                <c:pt idx="1044">
                  <c:v>-0.19723087188612087</c:v>
                </c:pt>
                <c:pt idx="1045">
                  <c:v>-0.17615658362989295</c:v>
                </c:pt>
                <c:pt idx="1046">
                  <c:v>-0.15747330960854067</c:v>
                </c:pt>
                <c:pt idx="1047">
                  <c:v>-0.13376705219454288</c:v>
                </c:pt>
                <c:pt idx="1048">
                  <c:v>-0.12411032028469715</c:v>
                </c:pt>
                <c:pt idx="1049">
                  <c:v>-0.12438834519572917</c:v>
                </c:pt>
                <c:pt idx="1050">
                  <c:v>-0.11860542704626309</c:v>
                </c:pt>
                <c:pt idx="1051">
                  <c:v>-0.11871663701067581</c:v>
                </c:pt>
                <c:pt idx="1052">
                  <c:v>-0.1072064056939499</c:v>
                </c:pt>
                <c:pt idx="1053">
                  <c:v>-9.3953884934756648E-2</c:v>
                </c:pt>
                <c:pt idx="1054">
                  <c:v>-9.9329033214709095E-2</c:v>
                </c:pt>
                <c:pt idx="1055">
                  <c:v>-0.10770685053380757</c:v>
                </c:pt>
                <c:pt idx="1056">
                  <c:v>-0.10420373665480409</c:v>
                </c:pt>
                <c:pt idx="1057">
                  <c:v>-9.4954774614471882E-2</c:v>
                </c:pt>
                <c:pt idx="1058">
                  <c:v>-9.5547894424673485E-2</c:v>
                </c:pt>
                <c:pt idx="1059">
                  <c:v>-5.870032621589516E-2</c:v>
                </c:pt>
                <c:pt idx="1060">
                  <c:v>-4.4354240806642631E-2</c:v>
                </c:pt>
                <c:pt idx="1061">
                  <c:v>-3.8626927639383135E-2</c:v>
                </c:pt>
                <c:pt idx="1062">
                  <c:v>-3.7570432977461432E-2</c:v>
                </c:pt>
                <c:pt idx="1063">
                  <c:v>-3.3381524317912303E-2</c:v>
                </c:pt>
                <c:pt idx="1064">
                  <c:v>-3.2454774614472326E-2</c:v>
                </c:pt>
                <c:pt idx="1065">
                  <c:v>-3.5679863582443794E-2</c:v>
                </c:pt>
                <c:pt idx="1066">
                  <c:v>-4.9080664294187559E-2</c:v>
                </c:pt>
                <c:pt idx="1067">
                  <c:v>-4.7301304863582527E-2</c:v>
                </c:pt>
                <c:pt idx="1068">
                  <c:v>-5.612396204033232E-2</c:v>
                </c:pt>
                <c:pt idx="1069">
                  <c:v>-3.3919039145907659E-2</c:v>
                </c:pt>
                <c:pt idx="1070">
                  <c:v>-3.8200622775801052E-2</c:v>
                </c:pt>
                <c:pt idx="1071">
                  <c:v>-3.6310053380783303E-2</c:v>
                </c:pt>
                <c:pt idx="1072">
                  <c:v>-3.7829922894424883E-2</c:v>
                </c:pt>
                <c:pt idx="1073">
                  <c:v>-3.023057532621598E-2</c:v>
                </c:pt>
                <c:pt idx="1074">
                  <c:v>-2.2649762752076197E-2</c:v>
                </c:pt>
                <c:pt idx="1075">
                  <c:v>-1.9925118623962179E-2</c:v>
                </c:pt>
                <c:pt idx="1076">
                  <c:v>-2.7302046263345425E-2</c:v>
                </c:pt>
                <c:pt idx="1077">
                  <c:v>-1.7793594306050098E-2</c:v>
                </c:pt>
                <c:pt idx="1078">
                  <c:v>-1.634786476868344E-2</c:v>
                </c:pt>
                <c:pt idx="1079">
                  <c:v>-9.8420818505340346E-3</c:v>
                </c:pt>
                <c:pt idx="1080">
                  <c:v>-1.3178380782918442E-2</c:v>
                </c:pt>
                <c:pt idx="1081">
                  <c:v>-1.0861506524318165E-2</c:v>
                </c:pt>
                <c:pt idx="1082">
                  <c:v>-2.3279952550415373E-2</c:v>
                </c:pt>
                <c:pt idx="1083">
                  <c:v>-9.6938018979837448E-3</c:v>
                </c:pt>
                <c:pt idx="1084">
                  <c:v>-1.9350533807829362E-2</c:v>
                </c:pt>
                <c:pt idx="1085">
                  <c:v>-1.951734875444866E-2</c:v>
                </c:pt>
                <c:pt idx="1086">
                  <c:v>-2.3520907473309816E-2</c:v>
                </c:pt>
                <c:pt idx="1087">
                  <c:v>-1.4587040332147527E-2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-8.4294104850990426E-3</c:v>
                </c:pt>
                <c:pt idx="1094">
                  <c:v>-1.522732216663214E-3</c:v>
                </c:pt>
                <c:pt idx="1095">
                  <c:v>0</c:v>
                </c:pt>
                <c:pt idx="1096">
                  <c:v>-7.5329905433102473E-3</c:v>
                </c:pt>
                <c:pt idx="1097">
                  <c:v>-6.975657114091538E-3</c:v>
                </c:pt>
                <c:pt idx="1098">
                  <c:v>0</c:v>
                </c:pt>
                <c:pt idx="1099">
                  <c:v>-1.4382022471909339E-3</c:v>
                </c:pt>
                <c:pt idx="1100">
                  <c:v>-3.6853932584268723E-3</c:v>
                </c:pt>
                <c:pt idx="1101">
                  <c:v>-7.1910112359296896E-5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-9.6119615521528257E-4</c:v>
                </c:pt>
                <c:pt idx="1106">
                  <c:v>0</c:v>
                </c:pt>
                <c:pt idx="1107">
                  <c:v>-5.1757448995869426E-3</c:v>
                </c:pt>
                <c:pt idx="1108">
                  <c:v>-6.3810553556575833E-4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-1.5489140000704005E-3</c:v>
                </c:pt>
                <c:pt idx="1113">
                  <c:v>-2.1121554546421617E-4</c:v>
                </c:pt>
                <c:pt idx="1114">
                  <c:v>-5.5092054775232047E-3</c:v>
                </c:pt>
                <c:pt idx="1115">
                  <c:v>-2.5099447319322676E-2</c:v>
                </c:pt>
                <c:pt idx="1116">
                  <c:v>-7.1109233639595759E-3</c:v>
                </c:pt>
                <c:pt idx="1117">
                  <c:v>-1.3852219523357023E-2</c:v>
                </c:pt>
                <c:pt idx="1118">
                  <c:v>-1.4433062273383479E-3</c:v>
                </c:pt>
                <c:pt idx="1119">
                  <c:v>0</c:v>
                </c:pt>
                <c:pt idx="1120">
                  <c:v>0</c:v>
                </c:pt>
                <c:pt idx="1121">
                  <c:v>-2.9588373509702448E-3</c:v>
                </c:pt>
                <c:pt idx="1122">
                  <c:v>0</c:v>
                </c:pt>
                <c:pt idx="1123">
                  <c:v>0</c:v>
                </c:pt>
                <c:pt idx="1124">
                  <c:v>-7.7540751972993149E-4</c:v>
                </c:pt>
                <c:pt idx="1125">
                  <c:v>-5.1693834648653958E-3</c:v>
                </c:pt>
                <c:pt idx="1126">
                  <c:v>-5.5657028638385064E-3</c:v>
                </c:pt>
                <c:pt idx="1127">
                  <c:v>-1.9057793707137449E-2</c:v>
                </c:pt>
                <c:pt idx="1128">
                  <c:v>-2.4881965744219081E-2</c:v>
                </c:pt>
                <c:pt idx="1129">
                  <c:v>-2.9396560636868241E-2</c:v>
                </c:pt>
                <c:pt idx="1130">
                  <c:v>-1.4422579866974705E-2</c:v>
                </c:pt>
                <c:pt idx="1131">
                  <c:v>-1.7265740772650751E-2</c:v>
                </c:pt>
                <c:pt idx="1132">
                  <c:v>-1.3319778061136822E-2</c:v>
                </c:pt>
                <c:pt idx="1133">
                  <c:v>-1.180342557810965E-2</c:v>
                </c:pt>
                <c:pt idx="1134">
                  <c:v>-5.6173966984873758E-3</c:v>
                </c:pt>
                <c:pt idx="1135">
                  <c:v>-1.7127890546921098E-2</c:v>
                </c:pt>
                <c:pt idx="1136">
                  <c:v>-2.5364441534273308E-2</c:v>
                </c:pt>
                <c:pt idx="1137">
                  <c:v>-1.769652272805633E-2</c:v>
                </c:pt>
                <c:pt idx="1138">
                  <c:v>-8.8051831684878845E-3</c:v>
                </c:pt>
                <c:pt idx="1139">
                  <c:v>-7.3749870765418279E-3</c:v>
                </c:pt>
                <c:pt idx="1140">
                  <c:v>-2.5329978977844947E-3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-8.4505137912382899E-4</c:v>
                </c:pt>
                <c:pt idx="1147">
                  <c:v>-2.8393726338560299E-3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-6.6423115244105269E-3</c:v>
                </c:pt>
                <c:pt idx="1152">
                  <c:v>-1.0129525074726087E-2</c:v>
                </c:pt>
                <c:pt idx="1153">
                  <c:v>-1.4397210229159962E-2</c:v>
                </c:pt>
                <c:pt idx="1154">
                  <c:v>-1.034540019926955E-2</c:v>
                </c:pt>
                <c:pt idx="1155">
                  <c:v>-5.7622052474262109E-3</c:v>
                </c:pt>
                <c:pt idx="1156">
                  <c:v>-3.0388575224180592E-3</c:v>
                </c:pt>
                <c:pt idx="1157">
                  <c:v>0</c:v>
                </c:pt>
                <c:pt idx="1158">
                  <c:v>0</c:v>
                </c:pt>
                <c:pt idx="1159">
                  <c:v>-4.2097964439602453E-3</c:v>
                </c:pt>
                <c:pt idx="1160">
                  <c:v>0</c:v>
                </c:pt>
                <c:pt idx="1161">
                  <c:v>-5.2656694805088833E-3</c:v>
                </c:pt>
                <c:pt idx="1162">
                  <c:v>0</c:v>
                </c:pt>
                <c:pt idx="1163">
                  <c:v>-1.2102577521915237E-3</c:v>
                </c:pt>
                <c:pt idx="1164">
                  <c:v>-3.5882506869030606E-2</c:v>
                </c:pt>
                <c:pt idx="1165">
                  <c:v>-1.5422608923197689E-2</c:v>
                </c:pt>
                <c:pt idx="1166">
                  <c:v>-2.1980897553316781E-2</c:v>
                </c:pt>
                <c:pt idx="1167">
                  <c:v>-1.5079157398927179E-2</c:v>
                </c:pt>
                <c:pt idx="1168">
                  <c:v>-1.872628548999089E-2</c:v>
                </c:pt>
                <c:pt idx="1169">
                  <c:v>-1.2282480701295451E-2</c:v>
                </c:pt>
                <c:pt idx="1170">
                  <c:v>0</c:v>
                </c:pt>
                <c:pt idx="1171">
                  <c:v>-2.6163456192562773E-4</c:v>
                </c:pt>
                <c:pt idx="1172">
                  <c:v>-9.8930568728129442E-3</c:v>
                </c:pt>
                <c:pt idx="1173">
                  <c:v>-1.5698073715537664E-3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-1.5288547745253789E-2</c:v>
                </c:pt>
                <c:pt idx="1179">
                  <c:v>-1.0538402252386669E-2</c:v>
                </c:pt>
                <c:pt idx="1180">
                  <c:v>-5.8039857181052534E-3</c:v>
                </c:pt>
                <c:pt idx="1181">
                  <c:v>-2.5984239583496938E-2</c:v>
                </c:pt>
                <c:pt idx="1182">
                  <c:v>-1.964546927347921E-2</c:v>
                </c:pt>
                <c:pt idx="1183">
                  <c:v>-3.790679019142118E-2</c:v>
                </c:pt>
                <c:pt idx="1184">
                  <c:v>-4.0942479198452064E-2</c:v>
                </c:pt>
                <c:pt idx="1185">
                  <c:v>-1.9724114066407394E-2</c:v>
                </c:pt>
                <c:pt idx="1186">
                  <c:v>-2.2335121191625618E-2</c:v>
                </c:pt>
                <c:pt idx="1187">
                  <c:v>-2.3105840162322533E-2</c:v>
                </c:pt>
                <c:pt idx="1188">
                  <c:v>-4.3050159648929442E-2</c:v>
                </c:pt>
                <c:pt idx="1189">
                  <c:v>-4.2326627553989526E-2</c:v>
                </c:pt>
                <c:pt idx="1190">
                  <c:v>-5.0505686018528673E-2</c:v>
                </c:pt>
                <c:pt idx="1191">
                  <c:v>-6.2066470578982957E-2</c:v>
                </c:pt>
                <c:pt idx="1192">
                  <c:v>-5.646696132249085E-2</c:v>
                </c:pt>
                <c:pt idx="1193">
                  <c:v>-7.8802082514116689E-2</c:v>
                </c:pt>
                <c:pt idx="1194">
                  <c:v>-7.1881340736429711E-2</c:v>
                </c:pt>
                <c:pt idx="1195">
                  <c:v>-4.8146342230680927E-2</c:v>
                </c:pt>
                <c:pt idx="1196">
                  <c:v>-4.2279440678232749E-2</c:v>
                </c:pt>
                <c:pt idx="1197">
                  <c:v>-3.381726095915194E-2</c:v>
                </c:pt>
                <c:pt idx="1198">
                  <c:v>-2.5984239583497271E-2</c:v>
                </c:pt>
                <c:pt idx="1199">
                  <c:v>-2.925586296931304E-2</c:v>
                </c:pt>
                <c:pt idx="1200">
                  <c:v>-2.1658775972442923E-2</c:v>
                </c:pt>
                <c:pt idx="1201">
                  <c:v>-1.9267974267423882E-2</c:v>
                </c:pt>
                <c:pt idx="1202">
                  <c:v>-2.0180253865391573E-2</c:v>
                </c:pt>
                <c:pt idx="1203">
                  <c:v>-1.618509838463611E-2</c:v>
                </c:pt>
                <c:pt idx="1204">
                  <c:v>-1.8072573414914417E-2</c:v>
                </c:pt>
                <c:pt idx="1205">
                  <c:v>-1.6861443603819248E-2</c:v>
                </c:pt>
                <c:pt idx="1206">
                  <c:v>-1.2834830205892267E-2</c:v>
                </c:pt>
                <c:pt idx="1207">
                  <c:v>-1.6027808798779519E-2</c:v>
                </c:pt>
                <c:pt idx="1208">
                  <c:v>-3.4839643267219444E-2</c:v>
                </c:pt>
                <c:pt idx="1209">
                  <c:v>-3.9684162511600229E-2</c:v>
                </c:pt>
                <c:pt idx="1210">
                  <c:v>-3.778095852273633E-2</c:v>
                </c:pt>
                <c:pt idx="1211">
                  <c:v>-5.5617597558865861E-2</c:v>
                </c:pt>
                <c:pt idx="1212">
                  <c:v>-4.1933403589348495E-2</c:v>
                </c:pt>
                <c:pt idx="1213">
                  <c:v>-2.9444610472340815E-2</c:v>
                </c:pt>
                <c:pt idx="1214">
                  <c:v>-2.6047155417839862E-2</c:v>
                </c:pt>
                <c:pt idx="1215">
                  <c:v>-2.1485757428000851E-2</c:v>
                </c:pt>
                <c:pt idx="1216">
                  <c:v>-1.8623086965412261E-2</c:v>
                </c:pt>
                <c:pt idx="1217">
                  <c:v>-1.8686002799754853E-2</c:v>
                </c:pt>
                <c:pt idx="1218">
                  <c:v>-2.343614829262175E-2</c:v>
                </c:pt>
                <c:pt idx="1219">
                  <c:v>-2.5701118328955719E-2</c:v>
                </c:pt>
                <c:pt idx="1220">
                  <c:v>-3.375434512480957E-2</c:v>
                </c:pt>
                <c:pt idx="1221">
                  <c:v>-3.5626091196502174E-2</c:v>
                </c:pt>
                <c:pt idx="1222">
                  <c:v>-2.7966088365289687E-2</c:v>
                </c:pt>
                <c:pt idx="1223">
                  <c:v>-1.9425263853280805E-2</c:v>
                </c:pt>
                <c:pt idx="1224">
                  <c:v>-1.8481526338141596E-2</c:v>
                </c:pt>
                <c:pt idx="1225">
                  <c:v>-2.4065306636048001E-2</c:v>
                </c:pt>
                <c:pt idx="1226">
                  <c:v>-1.4344810230115024E-2</c:v>
                </c:pt>
                <c:pt idx="1227">
                  <c:v>-1.3526904383661109E-2</c:v>
                </c:pt>
                <c:pt idx="1228">
                  <c:v>-1.4989697532126756E-2</c:v>
                </c:pt>
                <c:pt idx="1229">
                  <c:v>-2.5512370825927944E-2</c:v>
                </c:pt>
                <c:pt idx="1230">
                  <c:v>-2.2004813061327622E-2</c:v>
                </c:pt>
                <c:pt idx="1231">
                  <c:v>-2.2822718907781425E-2</c:v>
                </c:pt>
                <c:pt idx="1232">
                  <c:v>-4.3584944240842138E-2</c:v>
                </c:pt>
                <c:pt idx="1233">
                  <c:v>-3.0655740283436095E-2</c:v>
                </c:pt>
                <c:pt idx="1234">
                  <c:v>-2.3609166837063933E-2</c:v>
                </c:pt>
                <c:pt idx="1235">
                  <c:v>-2.0526290954276161E-2</c:v>
                </c:pt>
                <c:pt idx="1236">
                  <c:v>-1.6216556301807405E-2</c:v>
                </c:pt>
                <c:pt idx="1237">
                  <c:v>-7.2982367837427509E-3</c:v>
                </c:pt>
                <c:pt idx="1238">
                  <c:v>-4.0108844393413889E-3</c:v>
                </c:pt>
                <c:pt idx="1239">
                  <c:v>-9.9721597433036768E-3</c:v>
                </c:pt>
                <c:pt idx="1240">
                  <c:v>-2.1863252434056513E-2</c:v>
                </c:pt>
                <c:pt idx="1241">
                  <c:v>-1.5146987117983235E-2</c:v>
                </c:pt>
                <c:pt idx="1242">
                  <c:v>-3.0278245277380544E-2</c:v>
                </c:pt>
                <c:pt idx="1243">
                  <c:v>-4.7218333674127644E-2</c:v>
                </c:pt>
                <c:pt idx="1244">
                  <c:v>-6.0933985560816306E-2</c:v>
                </c:pt>
                <c:pt idx="1245">
                  <c:v>-4.1084039825723506E-2</c:v>
                </c:pt>
                <c:pt idx="1246">
                  <c:v>-3.3738616166223867E-2</c:v>
                </c:pt>
                <c:pt idx="1247">
                  <c:v>-3.8221369363134805E-2</c:v>
                </c:pt>
                <c:pt idx="1248">
                  <c:v>-3.5641820155087767E-2</c:v>
                </c:pt>
                <c:pt idx="1249">
                  <c:v>-5.5255831511395903E-2</c:v>
                </c:pt>
                <c:pt idx="1250">
                  <c:v>-5.3242524812432523E-2</c:v>
                </c:pt>
                <c:pt idx="1251">
                  <c:v>-5.4217720244742917E-2</c:v>
                </c:pt>
                <c:pt idx="1252">
                  <c:v>-4.7155417839785052E-2</c:v>
                </c:pt>
                <c:pt idx="1253">
                  <c:v>-5.080453623165615E-2</c:v>
                </c:pt>
                <c:pt idx="1254">
                  <c:v>-4.2405272346918044E-2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F-4FDD-9DBE-50BAFB045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27392"/>
        <c:axId val="150537472"/>
      </c:lineChart>
      <c:dateAx>
        <c:axId val="150527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7472"/>
        <c:crosses val="autoZero"/>
        <c:auto val="1"/>
        <c:lblOffset val="100"/>
        <c:baseTimeUnit val="days"/>
      </c:dateAx>
      <c:valAx>
        <c:axId val="1505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73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accent6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Calcs!$G$1</c:f>
              <c:strCache>
                <c:ptCount val="1"/>
                <c:pt idx="0">
                  <c:v>Rolling 20D Vol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Calcs!$A$2:$A$1257</c:f>
              <c:numCache>
                <c:formatCode>m/d/yyyy</c:formatCode>
                <c:ptCount val="1256"/>
                <c:pt idx="0">
                  <c:v>44250</c:v>
                </c:pt>
                <c:pt idx="1">
                  <c:v>44251</c:v>
                </c:pt>
                <c:pt idx="2">
                  <c:v>44252</c:v>
                </c:pt>
                <c:pt idx="3">
                  <c:v>44253</c:v>
                </c:pt>
                <c:pt idx="4">
                  <c:v>44256</c:v>
                </c:pt>
                <c:pt idx="5">
                  <c:v>44257</c:v>
                </c:pt>
                <c:pt idx="6">
                  <c:v>44258</c:v>
                </c:pt>
                <c:pt idx="7">
                  <c:v>44259</c:v>
                </c:pt>
                <c:pt idx="8">
                  <c:v>44260</c:v>
                </c:pt>
                <c:pt idx="9">
                  <c:v>44263</c:v>
                </c:pt>
                <c:pt idx="10">
                  <c:v>44264</c:v>
                </c:pt>
                <c:pt idx="11">
                  <c:v>44265</c:v>
                </c:pt>
                <c:pt idx="12">
                  <c:v>44266</c:v>
                </c:pt>
                <c:pt idx="13">
                  <c:v>44267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44284</c:v>
                </c:pt>
                <c:pt idx="25">
                  <c:v>44285</c:v>
                </c:pt>
                <c:pt idx="26">
                  <c:v>44286</c:v>
                </c:pt>
                <c:pt idx="27">
                  <c:v>44287</c:v>
                </c:pt>
                <c:pt idx="28">
                  <c:v>44291</c:v>
                </c:pt>
                <c:pt idx="29">
                  <c:v>44292</c:v>
                </c:pt>
                <c:pt idx="30">
                  <c:v>44293</c:v>
                </c:pt>
                <c:pt idx="31">
                  <c:v>44294</c:v>
                </c:pt>
                <c:pt idx="32">
                  <c:v>44295</c:v>
                </c:pt>
                <c:pt idx="33">
                  <c:v>44298</c:v>
                </c:pt>
                <c:pt idx="34">
                  <c:v>44299</c:v>
                </c:pt>
                <c:pt idx="35">
                  <c:v>44300</c:v>
                </c:pt>
                <c:pt idx="36">
                  <c:v>44301</c:v>
                </c:pt>
                <c:pt idx="37">
                  <c:v>44302</c:v>
                </c:pt>
                <c:pt idx="38">
                  <c:v>44305</c:v>
                </c:pt>
                <c:pt idx="39">
                  <c:v>44306</c:v>
                </c:pt>
                <c:pt idx="40">
                  <c:v>44307</c:v>
                </c:pt>
                <c:pt idx="41">
                  <c:v>44308</c:v>
                </c:pt>
                <c:pt idx="42">
                  <c:v>44309</c:v>
                </c:pt>
                <c:pt idx="43">
                  <c:v>44312</c:v>
                </c:pt>
                <c:pt idx="44">
                  <c:v>44313</c:v>
                </c:pt>
                <c:pt idx="45">
                  <c:v>44314</c:v>
                </c:pt>
                <c:pt idx="46">
                  <c:v>44315</c:v>
                </c:pt>
                <c:pt idx="47">
                  <c:v>44316</c:v>
                </c:pt>
                <c:pt idx="48">
                  <c:v>44319</c:v>
                </c:pt>
                <c:pt idx="49">
                  <c:v>44320</c:v>
                </c:pt>
                <c:pt idx="50">
                  <c:v>44321</c:v>
                </c:pt>
                <c:pt idx="51">
                  <c:v>44322</c:v>
                </c:pt>
                <c:pt idx="52">
                  <c:v>44323</c:v>
                </c:pt>
                <c:pt idx="53">
                  <c:v>44326</c:v>
                </c:pt>
                <c:pt idx="54">
                  <c:v>44327</c:v>
                </c:pt>
                <c:pt idx="55">
                  <c:v>44328</c:v>
                </c:pt>
                <c:pt idx="56">
                  <c:v>44329</c:v>
                </c:pt>
                <c:pt idx="57">
                  <c:v>44330</c:v>
                </c:pt>
                <c:pt idx="58">
                  <c:v>44333</c:v>
                </c:pt>
                <c:pt idx="59">
                  <c:v>44334</c:v>
                </c:pt>
                <c:pt idx="60">
                  <c:v>44335</c:v>
                </c:pt>
                <c:pt idx="61">
                  <c:v>44336</c:v>
                </c:pt>
                <c:pt idx="62">
                  <c:v>44337</c:v>
                </c:pt>
                <c:pt idx="63">
                  <c:v>44340</c:v>
                </c:pt>
                <c:pt idx="64">
                  <c:v>44341</c:v>
                </c:pt>
                <c:pt idx="65">
                  <c:v>44342</c:v>
                </c:pt>
                <c:pt idx="66">
                  <c:v>44343</c:v>
                </c:pt>
                <c:pt idx="67">
                  <c:v>44344</c:v>
                </c:pt>
                <c:pt idx="68">
                  <c:v>44348</c:v>
                </c:pt>
                <c:pt idx="69">
                  <c:v>44349</c:v>
                </c:pt>
                <c:pt idx="70">
                  <c:v>44350</c:v>
                </c:pt>
                <c:pt idx="71">
                  <c:v>44351</c:v>
                </c:pt>
                <c:pt idx="72">
                  <c:v>44354</c:v>
                </c:pt>
                <c:pt idx="73">
                  <c:v>44355</c:v>
                </c:pt>
                <c:pt idx="74">
                  <c:v>44356</c:v>
                </c:pt>
                <c:pt idx="75">
                  <c:v>44357</c:v>
                </c:pt>
                <c:pt idx="76">
                  <c:v>44358</c:v>
                </c:pt>
                <c:pt idx="77">
                  <c:v>44361</c:v>
                </c:pt>
                <c:pt idx="78">
                  <c:v>44362</c:v>
                </c:pt>
                <c:pt idx="79">
                  <c:v>44363</c:v>
                </c:pt>
                <c:pt idx="80">
                  <c:v>44364</c:v>
                </c:pt>
                <c:pt idx="81">
                  <c:v>44365</c:v>
                </c:pt>
                <c:pt idx="82">
                  <c:v>44368</c:v>
                </c:pt>
                <c:pt idx="83">
                  <c:v>44369</c:v>
                </c:pt>
                <c:pt idx="84">
                  <c:v>44370</c:v>
                </c:pt>
                <c:pt idx="85">
                  <c:v>44371</c:v>
                </c:pt>
                <c:pt idx="86">
                  <c:v>44372</c:v>
                </c:pt>
                <c:pt idx="87">
                  <c:v>44375</c:v>
                </c:pt>
                <c:pt idx="88">
                  <c:v>44376</c:v>
                </c:pt>
                <c:pt idx="89">
                  <c:v>44377</c:v>
                </c:pt>
                <c:pt idx="90">
                  <c:v>44378</c:v>
                </c:pt>
                <c:pt idx="91">
                  <c:v>44379</c:v>
                </c:pt>
                <c:pt idx="92">
                  <c:v>44383</c:v>
                </c:pt>
                <c:pt idx="93">
                  <c:v>44384</c:v>
                </c:pt>
                <c:pt idx="94">
                  <c:v>44385</c:v>
                </c:pt>
                <c:pt idx="95">
                  <c:v>44386</c:v>
                </c:pt>
                <c:pt idx="96">
                  <c:v>44389</c:v>
                </c:pt>
                <c:pt idx="97">
                  <c:v>44390</c:v>
                </c:pt>
                <c:pt idx="98">
                  <c:v>44391</c:v>
                </c:pt>
                <c:pt idx="99">
                  <c:v>44392</c:v>
                </c:pt>
                <c:pt idx="100">
                  <c:v>44393</c:v>
                </c:pt>
                <c:pt idx="101">
                  <c:v>44396</c:v>
                </c:pt>
                <c:pt idx="102">
                  <c:v>44397</c:v>
                </c:pt>
                <c:pt idx="103">
                  <c:v>44398</c:v>
                </c:pt>
                <c:pt idx="104">
                  <c:v>44399</c:v>
                </c:pt>
                <c:pt idx="105">
                  <c:v>44400</c:v>
                </c:pt>
                <c:pt idx="106">
                  <c:v>44403</c:v>
                </c:pt>
                <c:pt idx="107">
                  <c:v>44404</c:v>
                </c:pt>
                <c:pt idx="108">
                  <c:v>44405</c:v>
                </c:pt>
                <c:pt idx="109">
                  <c:v>44406</c:v>
                </c:pt>
                <c:pt idx="110">
                  <c:v>44407</c:v>
                </c:pt>
                <c:pt idx="111">
                  <c:v>44410</c:v>
                </c:pt>
                <c:pt idx="112">
                  <c:v>44411</c:v>
                </c:pt>
                <c:pt idx="113">
                  <c:v>44412</c:v>
                </c:pt>
                <c:pt idx="114">
                  <c:v>44413</c:v>
                </c:pt>
                <c:pt idx="115">
                  <c:v>44414</c:v>
                </c:pt>
                <c:pt idx="116">
                  <c:v>44417</c:v>
                </c:pt>
                <c:pt idx="117">
                  <c:v>44418</c:v>
                </c:pt>
                <c:pt idx="118">
                  <c:v>44419</c:v>
                </c:pt>
                <c:pt idx="119">
                  <c:v>44420</c:v>
                </c:pt>
                <c:pt idx="120">
                  <c:v>44421</c:v>
                </c:pt>
                <c:pt idx="121">
                  <c:v>44424</c:v>
                </c:pt>
                <c:pt idx="122">
                  <c:v>44425</c:v>
                </c:pt>
                <c:pt idx="123">
                  <c:v>44426</c:v>
                </c:pt>
                <c:pt idx="124">
                  <c:v>44427</c:v>
                </c:pt>
                <c:pt idx="125">
                  <c:v>44428</c:v>
                </c:pt>
                <c:pt idx="126">
                  <c:v>44431</c:v>
                </c:pt>
                <c:pt idx="127">
                  <c:v>44432</c:v>
                </c:pt>
                <c:pt idx="128">
                  <c:v>44433</c:v>
                </c:pt>
                <c:pt idx="129">
                  <c:v>44434</c:v>
                </c:pt>
                <c:pt idx="130">
                  <c:v>44435</c:v>
                </c:pt>
                <c:pt idx="131">
                  <c:v>44438</c:v>
                </c:pt>
                <c:pt idx="132">
                  <c:v>44439</c:v>
                </c:pt>
                <c:pt idx="133">
                  <c:v>44440</c:v>
                </c:pt>
                <c:pt idx="134">
                  <c:v>44441</c:v>
                </c:pt>
                <c:pt idx="135">
                  <c:v>44442</c:v>
                </c:pt>
                <c:pt idx="136">
                  <c:v>44446</c:v>
                </c:pt>
                <c:pt idx="137">
                  <c:v>44447</c:v>
                </c:pt>
                <c:pt idx="138">
                  <c:v>44448</c:v>
                </c:pt>
                <c:pt idx="139">
                  <c:v>44449</c:v>
                </c:pt>
                <c:pt idx="140">
                  <c:v>44452</c:v>
                </c:pt>
                <c:pt idx="141">
                  <c:v>44453</c:v>
                </c:pt>
                <c:pt idx="142">
                  <c:v>44454</c:v>
                </c:pt>
                <c:pt idx="143">
                  <c:v>44455</c:v>
                </c:pt>
                <c:pt idx="144">
                  <c:v>44456</c:v>
                </c:pt>
                <c:pt idx="145">
                  <c:v>44459</c:v>
                </c:pt>
                <c:pt idx="146">
                  <c:v>44460</c:v>
                </c:pt>
                <c:pt idx="147">
                  <c:v>44461</c:v>
                </c:pt>
                <c:pt idx="148">
                  <c:v>44462</c:v>
                </c:pt>
                <c:pt idx="149">
                  <c:v>44463</c:v>
                </c:pt>
                <c:pt idx="150">
                  <c:v>44466</c:v>
                </c:pt>
                <c:pt idx="151">
                  <c:v>44467</c:v>
                </c:pt>
                <c:pt idx="152">
                  <c:v>44468</c:v>
                </c:pt>
                <c:pt idx="153">
                  <c:v>44469</c:v>
                </c:pt>
                <c:pt idx="154">
                  <c:v>44470</c:v>
                </c:pt>
                <c:pt idx="155">
                  <c:v>44473</c:v>
                </c:pt>
                <c:pt idx="156">
                  <c:v>44474</c:v>
                </c:pt>
                <c:pt idx="157">
                  <c:v>44475</c:v>
                </c:pt>
                <c:pt idx="158">
                  <c:v>44476</c:v>
                </c:pt>
                <c:pt idx="159">
                  <c:v>44477</c:v>
                </c:pt>
                <c:pt idx="160">
                  <c:v>44480</c:v>
                </c:pt>
                <c:pt idx="161">
                  <c:v>44481</c:v>
                </c:pt>
                <c:pt idx="162">
                  <c:v>44482</c:v>
                </c:pt>
                <c:pt idx="163">
                  <c:v>44483</c:v>
                </c:pt>
                <c:pt idx="164">
                  <c:v>44484</c:v>
                </c:pt>
                <c:pt idx="165">
                  <c:v>44487</c:v>
                </c:pt>
                <c:pt idx="166">
                  <c:v>44488</c:v>
                </c:pt>
                <c:pt idx="167">
                  <c:v>44489</c:v>
                </c:pt>
                <c:pt idx="168">
                  <c:v>44490</c:v>
                </c:pt>
                <c:pt idx="169">
                  <c:v>44491</c:v>
                </c:pt>
                <c:pt idx="170">
                  <c:v>44494</c:v>
                </c:pt>
                <c:pt idx="171">
                  <c:v>44495</c:v>
                </c:pt>
                <c:pt idx="172">
                  <c:v>44496</c:v>
                </c:pt>
                <c:pt idx="173">
                  <c:v>44497</c:v>
                </c:pt>
                <c:pt idx="174">
                  <c:v>44498</c:v>
                </c:pt>
                <c:pt idx="175">
                  <c:v>44501</c:v>
                </c:pt>
                <c:pt idx="176">
                  <c:v>44502</c:v>
                </c:pt>
                <c:pt idx="177">
                  <c:v>44503</c:v>
                </c:pt>
                <c:pt idx="178">
                  <c:v>44504</c:v>
                </c:pt>
                <c:pt idx="179">
                  <c:v>44505</c:v>
                </c:pt>
                <c:pt idx="180">
                  <c:v>44508</c:v>
                </c:pt>
                <c:pt idx="181">
                  <c:v>44509</c:v>
                </c:pt>
                <c:pt idx="182">
                  <c:v>44510</c:v>
                </c:pt>
                <c:pt idx="183">
                  <c:v>44511</c:v>
                </c:pt>
                <c:pt idx="184">
                  <c:v>44512</c:v>
                </c:pt>
                <c:pt idx="185">
                  <c:v>44515</c:v>
                </c:pt>
                <c:pt idx="186">
                  <c:v>44516</c:v>
                </c:pt>
                <c:pt idx="187">
                  <c:v>44517</c:v>
                </c:pt>
                <c:pt idx="188">
                  <c:v>44518</c:v>
                </c:pt>
                <c:pt idx="189">
                  <c:v>44519</c:v>
                </c:pt>
                <c:pt idx="190">
                  <c:v>44522</c:v>
                </c:pt>
                <c:pt idx="191">
                  <c:v>44523</c:v>
                </c:pt>
                <c:pt idx="192">
                  <c:v>44524</c:v>
                </c:pt>
                <c:pt idx="193">
                  <c:v>44526</c:v>
                </c:pt>
                <c:pt idx="194">
                  <c:v>44529</c:v>
                </c:pt>
                <c:pt idx="195">
                  <c:v>44530</c:v>
                </c:pt>
                <c:pt idx="196">
                  <c:v>44531</c:v>
                </c:pt>
                <c:pt idx="197">
                  <c:v>44532</c:v>
                </c:pt>
                <c:pt idx="198">
                  <c:v>44533</c:v>
                </c:pt>
                <c:pt idx="199">
                  <c:v>44536</c:v>
                </c:pt>
                <c:pt idx="200">
                  <c:v>44537</c:v>
                </c:pt>
                <c:pt idx="201">
                  <c:v>44538</c:v>
                </c:pt>
                <c:pt idx="202">
                  <c:v>44539</c:v>
                </c:pt>
                <c:pt idx="203">
                  <c:v>44540</c:v>
                </c:pt>
                <c:pt idx="204">
                  <c:v>44543</c:v>
                </c:pt>
                <c:pt idx="205">
                  <c:v>44544</c:v>
                </c:pt>
                <c:pt idx="206">
                  <c:v>44545</c:v>
                </c:pt>
                <c:pt idx="207">
                  <c:v>44546</c:v>
                </c:pt>
                <c:pt idx="208">
                  <c:v>44547</c:v>
                </c:pt>
                <c:pt idx="209">
                  <c:v>44550</c:v>
                </c:pt>
                <c:pt idx="210">
                  <c:v>44551</c:v>
                </c:pt>
                <c:pt idx="211">
                  <c:v>44552</c:v>
                </c:pt>
                <c:pt idx="212">
                  <c:v>44553</c:v>
                </c:pt>
                <c:pt idx="213">
                  <c:v>44557</c:v>
                </c:pt>
                <c:pt idx="214">
                  <c:v>44558</c:v>
                </c:pt>
                <c:pt idx="215">
                  <c:v>44559</c:v>
                </c:pt>
                <c:pt idx="216">
                  <c:v>44560</c:v>
                </c:pt>
                <c:pt idx="217">
                  <c:v>44561</c:v>
                </c:pt>
                <c:pt idx="218">
                  <c:v>44564</c:v>
                </c:pt>
                <c:pt idx="219">
                  <c:v>44565</c:v>
                </c:pt>
                <c:pt idx="220">
                  <c:v>44566</c:v>
                </c:pt>
                <c:pt idx="221">
                  <c:v>44567</c:v>
                </c:pt>
                <c:pt idx="222">
                  <c:v>44568</c:v>
                </c:pt>
                <c:pt idx="223">
                  <c:v>44571</c:v>
                </c:pt>
                <c:pt idx="224">
                  <c:v>44572</c:v>
                </c:pt>
                <c:pt idx="225">
                  <c:v>44573</c:v>
                </c:pt>
                <c:pt idx="226">
                  <c:v>44574</c:v>
                </c:pt>
                <c:pt idx="227">
                  <c:v>44575</c:v>
                </c:pt>
                <c:pt idx="228">
                  <c:v>44579</c:v>
                </c:pt>
                <c:pt idx="229">
                  <c:v>44580</c:v>
                </c:pt>
                <c:pt idx="230">
                  <c:v>44581</c:v>
                </c:pt>
                <c:pt idx="231">
                  <c:v>44582</c:v>
                </c:pt>
                <c:pt idx="232">
                  <c:v>44585</c:v>
                </c:pt>
                <c:pt idx="233">
                  <c:v>44586</c:v>
                </c:pt>
                <c:pt idx="234">
                  <c:v>44587</c:v>
                </c:pt>
                <c:pt idx="235">
                  <c:v>44588</c:v>
                </c:pt>
                <c:pt idx="236">
                  <c:v>44589</c:v>
                </c:pt>
                <c:pt idx="237">
                  <c:v>44592</c:v>
                </c:pt>
                <c:pt idx="238">
                  <c:v>44593</c:v>
                </c:pt>
                <c:pt idx="239">
                  <c:v>44594</c:v>
                </c:pt>
                <c:pt idx="240">
                  <c:v>44595</c:v>
                </c:pt>
                <c:pt idx="241">
                  <c:v>44596</c:v>
                </c:pt>
                <c:pt idx="242">
                  <c:v>44599</c:v>
                </c:pt>
                <c:pt idx="243">
                  <c:v>44600</c:v>
                </c:pt>
                <c:pt idx="244">
                  <c:v>44601</c:v>
                </c:pt>
                <c:pt idx="245">
                  <c:v>44602</c:v>
                </c:pt>
                <c:pt idx="246">
                  <c:v>44603</c:v>
                </c:pt>
                <c:pt idx="247">
                  <c:v>44606</c:v>
                </c:pt>
                <c:pt idx="248">
                  <c:v>44607</c:v>
                </c:pt>
                <c:pt idx="249">
                  <c:v>44608</c:v>
                </c:pt>
                <c:pt idx="250">
                  <c:v>44609</c:v>
                </c:pt>
                <c:pt idx="251">
                  <c:v>44610</c:v>
                </c:pt>
                <c:pt idx="252">
                  <c:v>44614</c:v>
                </c:pt>
                <c:pt idx="253">
                  <c:v>44615</c:v>
                </c:pt>
                <c:pt idx="254">
                  <c:v>44616</c:v>
                </c:pt>
                <c:pt idx="255">
                  <c:v>44617</c:v>
                </c:pt>
                <c:pt idx="256">
                  <c:v>44620</c:v>
                </c:pt>
                <c:pt idx="257">
                  <c:v>44621</c:v>
                </c:pt>
                <c:pt idx="258">
                  <c:v>44622</c:v>
                </c:pt>
                <c:pt idx="259">
                  <c:v>44623</c:v>
                </c:pt>
                <c:pt idx="260">
                  <c:v>44624</c:v>
                </c:pt>
                <c:pt idx="261">
                  <c:v>44627</c:v>
                </c:pt>
                <c:pt idx="262">
                  <c:v>44628</c:v>
                </c:pt>
                <c:pt idx="263">
                  <c:v>44629</c:v>
                </c:pt>
                <c:pt idx="264">
                  <c:v>44630</c:v>
                </c:pt>
                <c:pt idx="265">
                  <c:v>44631</c:v>
                </c:pt>
                <c:pt idx="266">
                  <c:v>44634</c:v>
                </c:pt>
                <c:pt idx="267">
                  <c:v>44635</c:v>
                </c:pt>
                <c:pt idx="268">
                  <c:v>44636</c:v>
                </c:pt>
                <c:pt idx="269">
                  <c:v>44637</c:v>
                </c:pt>
                <c:pt idx="270">
                  <c:v>44638</c:v>
                </c:pt>
                <c:pt idx="271">
                  <c:v>44641</c:v>
                </c:pt>
                <c:pt idx="272">
                  <c:v>44642</c:v>
                </c:pt>
                <c:pt idx="273">
                  <c:v>44643</c:v>
                </c:pt>
                <c:pt idx="274">
                  <c:v>44644</c:v>
                </c:pt>
                <c:pt idx="275">
                  <c:v>44645</c:v>
                </c:pt>
                <c:pt idx="276">
                  <c:v>44648</c:v>
                </c:pt>
                <c:pt idx="277">
                  <c:v>44649</c:v>
                </c:pt>
                <c:pt idx="278">
                  <c:v>44650</c:v>
                </c:pt>
                <c:pt idx="279">
                  <c:v>44651</c:v>
                </c:pt>
                <c:pt idx="280">
                  <c:v>44652</c:v>
                </c:pt>
                <c:pt idx="281">
                  <c:v>44655</c:v>
                </c:pt>
                <c:pt idx="282">
                  <c:v>44656</c:v>
                </c:pt>
                <c:pt idx="283">
                  <c:v>44657</c:v>
                </c:pt>
                <c:pt idx="284">
                  <c:v>44658</c:v>
                </c:pt>
                <c:pt idx="285">
                  <c:v>44659</c:v>
                </c:pt>
                <c:pt idx="286">
                  <c:v>44662</c:v>
                </c:pt>
                <c:pt idx="287">
                  <c:v>44663</c:v>
                </c:pt>
                <c:pt idx="288">
                  <c:v>44664</c:v>
                </c:pt>
                <c:pt idx="289">
                  <c:v>44665</c:v>
                </c:pt>
                <c:pt idx="290">
                  <c:v>44669</c:v>
                </c:pt>
                <c:pt idx="291">
                  <c:v>44670</c:v>
                </c:pt>
                <c:pt idx="292">
                  <c:v>44671</c:v>
                </c:pt>
                <c:pt idx="293">
                  <c:v>44672</c:v>
                </c:pt>
                <c:pt idx="294">
                  <c:v>44673</c:v>
                </c:pt>
                <c:pt idx="295">
                  <c:v>44676</c:v>
                </c:pt>
                <c:pt idx="296">
                  <c:v>44677</c:v>
                </c:pt>
                <c:pt idx="297">
                  <c:v>44678</c:v>
                </c:pt>
                <c:pt idx="298">
                  <c:v>44679</c:v>
                </c:pt>
                <c:pt idx="299">
                  <c:v>44680</c:v>
                </c:pt>
                <c:pt idx="300">
                  <c:v>44683</c:v>
                </c:pt>
                <c:pt idx="301">
                  <c:v>44684</c:v>
                </c:pt>
                <c:pt idx="302">
                  <c:v>44685</c:v>
                </c:pt>
                <c:pt idx="303">
                  <c:v>44686</c:v>
                </c:pt>
                <c:pt idx="304">
                  <c:v>44687</c:v>
                </c:pt>
                <c:pt idx="305">
                  <c:v>44690</c:v>
                </c:pt>
                <c:pt idx="306">
                  <c:v>44691</c:v>
                </c:pt>
                <c:pt idx="307">
                  <c:v>44692</c:v>
                </c:pt>
                <c:pt idx="308">
                  <c:v>44693</c:v>
                </c:pt>
                <c:pt idx="309">
                  <c:v>44694</c:v>
                </c:pt>
                <c:pt idx="310">
                  <c:v>44697</c:v>
                </c:pt>
                <c:pt idx="311">
                  <c:v>44698</c:v>
                </c:pt>
                <c:pt idx="312">
                  <c:v>44699</c:v>
                </c:pt>
                <c:pt idx="313">
                  <c:v>44700</c:v>
                </c:pt>
                <c:pt idx="314">
                  <c:v>44701</c:v>
                </c:pt>
                <c:pt idx="315">
                  <c:v>44704</c:v>
                </c:pt>
                <c:pt idx="316">
                  <c:v>44705</c:v>
                </c:pt>
                <c:pt idx="317">
                  <c:v>44706</c:v>
                </c:pt>
                <c:pt idx="318">
                  <c:v>44707</c:v>
                </c:pt>
                <c:pt idx="319">
                  <c:v>44708</c:v>
                </c:pt>
                <c:pt idx="320">
                  <c:v>44712</c:v>
                </c:pt>
                <c:pt idx="321">
                  <c:v>44713</c:v>
                </c:pt>
                <c:pt idx="322">
                  <c:v>44714</c:v>
                </c:pt>
                <c:pt idx="323">
                  <c:v>44715</c:v>
                </c:pt>
                <c:pt idx="324">
                  <c:v>44718</c:v>
                </c:pt>
                <c:pt idx="325">
                  <c:v>44719</c:v>
                </c:pt>
                <c:pt idx="326">
                  <c:v>44720</c:v>
                </c:pt>
                <c:pt idx="327">
                  <c:v>44721</c:v>
                </c:pt>
                <c:pt idx="328">
                  <c:v>44722</c:v>
                </c:pt>
                <c:pt idx="329">
                  <c:v>44725</c:v>
                </c:pt>
                <c:pt idx="330">
                  <c:v>44726</c:v>
                </c:pt>
                <c:pt idx="331">
                  <c:v>44727</c:v>
                </c:pt>
                <c:pt idx="332">
                  <c:v>44728</c:v>
                </c:pt>
                <c:pt idx="333">
                  <c:v>44729</c:v>
                </c:pt>
                <c:pt idx="334">
                  <c:v>44733</c:v>
                </c:pt>
                <c:pt idx="335">
                  <c:v>44734</c:v>
                </c:pt>
                <c:pt idx="336">
                  <c:v>44735</c:v>
                </c:pt>
                <c:pt idx="337">
                  <c:v>44736</c:v>
                </c:pt>
                <c:pt idx="338">
                  <c:v>44739</c:v>
                </c:pt>
                <c:pt idx="339">
                  <c:v>44740</c:v>
                </c:pt>
                <c:pt idx="340">
                  <c:v>44741</c:v>
                </c:pt>
                <c:pt idx="341">
                  <c:v>44742</c:v>
                </c:pt>
                <c:pt idx="342">
                  <c:v>44743</c:v>
                </c:pt>
                <c:pt idx="343">
                  <c:v>44747</c:v>
                </c:pt>
                <c:pt idx="344">
                  <c:v>44748</c:v>
                </c:pt>
                <c:pt idx="345">
                  <c:v>44749</c:v>
                </c:pt>
                <c:pt idx="346">
                  <c:v>44750</c:v>
                </c:pt>
                <c:pt idx="347">
                  <c:v>44753</c:v>
                </c:pt>
                <c:pt idx="348">
                  <c:v>44754</c:v>
                </c:pt>
                <c:pt idx="349">
                  <c:v>44755</c:v>
                </c:pt>
                <c:pt idx="350">
                  <c:v>44756</c:v>
                </c:pt>
                <c:pt idx="351">
                  <c:v>44757</c:v>
                </c:pt>
                <c:pt idx="352">
                  <c:v>44760</c:v>
                </c:pt>
                <c:pt idx="353">
                  <c:v>44761</c:v>
                </c:pt>
                <c:pt idx="354">
                  <c:v>44762</c:v>
                </c:pt>
                <c:pt idx="355">
                  <c:v>44763</c:v>
                </c:pt>
                <c:pt idx="356">
                  <c:v>44764</c:v>
                </c:pt>
                <c:pt idx="357">
                  <c:v>44767</c:v>
                </c:pt>
                <c:pt idx="358">
                  <c:v>44768</c:v>
                </c:pt>
                <c:pt idx="359">
                  <c:v>44769</c:v>
                </c:pt>
                <c:pt idx="360">
                  <c:v>44770</c:v>
                </c:pt>
                <c:pt idx="361">
                  <c:v>44771</c:v>
                </c:pt>
                <c:pt idx="362">
                  <c:v>44774</c:v>
                </c:pt>
                <c:pt idx="363">
                  <c:v>44775</c:v>
                </c:pt>
                <c:pt idx="364">
                  <c:v>44776</c:v>
                </c:pt>
                <c:pt idx="365">
                  <c:v>44777</c:v>
                </c:pt>
                <c:pt idx="366">
                  <c:v>44778</c:v>
                </c:pt>
                <c:pt idx="367">
                  <c:v>44781</c:v>
                </c:pt>
                <c:pt idx="368">
                  <c:v>44782</c:v>
                </c:pt>
                <c:pt idx="369">
                  <c:v>44783</c:v>
                </c:pt>
                <c:pt idx="370">
                  <c:v>44784</c:v>
                </c:pt>
                <c:pt idx="371">
                  <c:v>44785</c:v>
                </c:pt>
                <c:pt idx="372">
                  <c:v>44788</c:v>
                </c:pt>
                <c:pt idx="373">
                  <c:v>44789</c:v>
                </c:pt>
                <c:pt idx="374">
                  <c:v>44790</c:v>
                </c:pt>
                <c:pt idx="375">
                  <c:v>44791</c:v>
                </c:pt>
                <c:pt idx="376">
                  <c:v>44792</c:v>
                </c:pt>
                <c:pt idx="377">
                  <c:v>44795</c:v>
                </c:pt>
                <c:pt idx="378">
                  <c:v>44796</c:v>
                </c:pt>
                <c:pt idx="379">
                  <c:v>44797</c:v>
                </c:pt>
                <c:pt idx="380">
                  <c:v>44798</c:v>
                </c:pt>
                <c:pt idx="381">
                  <c:v>44799</c:v>
                </c:pt>
                <c:pt idx="382">
                  <c:v>44802</c:v>
                </c:pt>
                <c:pt idx="383">
                  <c:v>44803</c:v>
                </c:pt>
                <c:pt idx="384">
                  <c:v>44804</c:v>
                </c:pt>
                <c:pt idx="385">
                  <c:v>44805</c:v>
                </c:pt>
                <c:pt idx="386">
                  <c:v>44806</c:v>
                </c:pt>
                <c:pt idx="387">
                  <c:v>44810</c:v>
                </c:pt>
                <c:pt idx="388">
                  <c:v>44811</c:v>
                </c:pt>
                <c:pt idx="389">
                  <c:v>44812</c:v>
                </c:pt>
                <c:pt idx="390">
                  <c:v>44813</c:v>
                </c:pt>
                <c:pt idx="391">
                  <c:v>44816</c:v>
                </c:pt>
                <c:pt idx="392">
                  <c:v>44817</c:v>
                </c:pt>
                <c:pt idx="393">
                  <c:v>44818</c:v>
                </c:pt>
                <c:pt idx="394">
                  <c:v>44819</c:v>
                </c:pt>
                <c:pt idx="395">
                  <c:v>44820</c:v>
                </c:pt>
                <c:pt idx="396">
                  <c:v>44823</c:v>
                </c:pt>
                <c:pt idx="397">
                  <c:v>44824</c:v>
                </c:pt>
                <c:pt idx="398">
                  <c:v>44825</c:v>
                </c:pt>
                <c:pt idx="399">
                  <c:v>44826</c:v>
                </c:pt>
                <c:pt idx="400">
                  <c:v>44827</c:v>
                </c:pt>
                <c:pt idx="401">
                  <c:v>44830</c:v>
                </c:pt>
                <c:pt idx="402">
                  <c:v>44831</c:v>
                </c:pt>
                <c:pt idx="403">
                  <c:v>44832</c:v>
                </c:pt>
                <c:pt idx="404">
                  <c:v>44833</c:v>
                </c:pt>
                <c:pt idx="405">
                  <c:v>44834</c:v>
                </c:pt>
                <c:pt idx="406">
                  <c:v>44837</c:v>
                </c:pt>
                <c:pt idx="407">
                  <c:v>44838</c:v>
                </c:pt>
                <c:pt idx="408">
                  <c:v>44839</c:v>
                </c:pt>
                <c:pt idx="409">
                  <c:v>44840</c:v>
                </c:pt>
                <c:pt idx="410">
                  <c:v>44841</c:v>
                </c:pt>
                <c:pt idx="411">
                  <c:v>44844</c:v>
                </c:pt>
                <c:pt idx="412">
                  <c:v>44845</c:v>
                </c:pt>
                <c:pt idx="413">
                  <c:v>44846</c:v>
                </c:pt>
                <c:pt idx="414">
                  <c:v>44847</c:v>
                </c:pt>
                <c:pt idx="415">
                  <c:v>44848</c:v>
                </c:pt>
                <c:pt idx="416">
                  <c:v>44851</c:v>
                </c:pt>
                <c:pt idx="417">
                  <c:v>44852</c:v>
                </c:pt>
                <c:pt idx="418">
                  <c:v>44853</c:v>
                </c:pt>
                <c:pt idx="419">
                  <c:v>44854</c:v>
                </c:pt>
                <c:pt idx="420">
                  <c:v>44855</c:v>
                </c:pt>
                <c:pt idx="421">
                  <c:v>44858</c:v>
                </c:pt>
                <c:pt idx="422">
                  <c:v>44859</c:v>
                </c:pt>
                <c:pt idx="423">
                  <c:v>44860</c:v>
                </c:pt>
                <c:pt idx="424">
                  <c:v>44861</c:v>
                </c:pt>
                <c:pt idx="425">
                  <c:v>44862</c:v>
                </c:pt>
                <c:pt idx="426">
                  <c:v>44865</c:v>
                </c:pt>
                <c:pt idx="427">
                  <c:v>44866</c:v>
                </c:pt>
                <c:pt idx="428">
                  <c:v>44867</c:v>
                </c:pt>
                <c:pt idx="429">
                  <c:v>44868</c:v>
                </c:pt>
                <c:pt idx="430">
                  <c:v>44869</c:v>
                </c:pt>
                <c:pt idx="431">
                  <c:v>44872</c:v>
                </c:pt>
                <c:pt idx="432">
                  <c:v>44873</c:v>
                </c:pt>
                <c:pt idx="433">
                  <c:v>44874</c:v>
                </c:pt>
                <c:pt idx="434">
                  <c:v>44875</c:v>
                </c:pt>
                <c:pt idx="435">
                  <c:v>44876</c:v>
                </c:pt>
                <c:pt idx="436">
                  <c:v>44879</c:v>
                </c:pt>
                <c:pt idx="437">
                  <c:v>44880</c:v>
                </c:pt>
                <c:pt idx="438">
                  <c:v>44881</c:v>
                </c:pt>
                <c:pt idx="439">
                  <c:v>44882</c:v>
                </c:pt>
                <c:pt idx="440">
                  <c:v>44883</c:v>
                </c:pt>
                <c:pt idx="441">
                  <c:v>44886</c:v>
                </c:pt>
                <c:pt idx="442">
                  <c:v>44887</c:v>
                </c:pt>
                <c:pt idx="443">
                  <c:v>44888</c:v>
                </c:pt>
                <c:pt idx="444">
                  <c:v>44890</c:v>
                </c:pt>
                <c:pt idx="445">
                  <c:v>44893</c:v>
                </c:pt>
                <c:pt idx="446">
                  <c:v>44894</c:v>
                </c:pt>
                <c:pt idx="447">
                  <c:v>44895</c:v>
                </c:pt>
                <c:pt idx="448">
                  <c:v>44896</c:v>
                </c:pt>
                <c:pt idx="449">
                  <c:v>44897</c:v>
                </c:pt>
                <c:pt idx="450">
                  <c:v>44900</c:v>
                </c:pt>
                <c:pt idx="451">
                  <c:v>44901</c:v>
                </c:pt>
                <c:pt idx="452">
                  <c:v>44902</c:v>
                </c:pt>
                <c:pt idx="453">
                  <c:v>44903</c:v>
                </c:pt>
                <c:pt idx="454">
                  <c:v>44904</c:v>
                </c:pt>
                <c:pt idx="455">
                  <c:v>44907</c:v>
                </c:pt>
                <c:pt idx="456">
                  <c:v>44908</c:v>
                </c:pt>
                <c:pt idx="457">
                  <c:v>44909</c:v>
                </c:pt>
                <c:pt idx="458">
                  <c:v>44910</c:v>
                </c:pt>
                <c:pt idx="459">
                  <c:v>44911</c:v>
                </c:pt>
                <c:pt idx="460">
                  <c:v>44914</c:v>
                </c:pt>
                <c:pt idx="461">
                  <c:v>44915</c:v>
                </c:pt>
                <c:pt idx="462">
                  <c:v>44916</c:v>
                </c:pt>
                <c:pt idx="463">
                  <c:v>44917</c:v>
                </c:pt>
                <c:pt idx="464">
                  <c:v>44918</c:v>
                </c:pt>
                <c:pt idx="465">
                  <c:v>44922</c:v>
                </c:pt>
                <c:pt idx="466">
                  <c:v>44923</c:v>
                </c:pt>
                <c:pt idx="467">
                  <c:v>44924</c:v>
                </c:pt>
                <c:pt idx="468">
                  <c:v>44925</c:v>
                </c:pt>
                <c:pt idx="469">
                  <c:v>44929</c:v>
                </c:pt>
                <c:pt idx="470">
                  <c:v>44930</c:v>
                </c:pt>
                <c:pt idx="471">
                  <c:v>44931</c:v>
                </c:pt>
                <c:pt idx="472">
                  <c:v>44932</c:v>
                </c:pt>
                <c:pt idx="473">
                  <c:v>44935</c:v>
                </c:pt>
                <c:pt idx="474">
                  <c:v>44936</c:v>
                </c:pt>
                <c:pt idx="475">
                  <c:v>44937</c:v>
                </c:pt>
                <c:pt idx="476">
                  <c:v>44938</c:v>
                </c:pt>
                <c:pt idx="477">
                  <c:v>44939</c:v>
                </c:pt>
                <c:pt idx="478">
                  <c:v>44943</c:v>
                </c:pt>
                <c:pt idx="479">
                  <c:v>44944</c:v>
                </c:pt>
                <c:pt idx="480">
                  <c:v>44945</c:v>
                </c:pt>
                <c:pt idx="481">
                  <c:v>44946</c:v>
                </c:pt>
                <c:pt idx="482">
                  <c:v>44949</c:v>
                </c:pt>
                <c:pt idx="483">
                  <c:v>44950</c:v>
                </c:pt>
                <c:pt idx="484">
                  <c:v>44951</c:v>
                </c:pt>
                <c:pt idx="485">
                  <c:v>44952</c:v>
                </c:pt>
                <c:pt idx="486">
                  <c:v>44953</c:v>
                </c:pt>
                <c:pt idx="487">
                  <c:v>44956</c:v>
                </c:pt>
                <c:pt idx="488">
                  <c:v>44957</c:v>
                </c:pt>
                <c:pt idx="489">
                  <c:v>44958</c:v>
                </c:pt>
                <c:pt idx="490">
                  <c:v>44959</c:v>
                </c:pt>
                <c:pt idx="491">
                  <c:v>44960</c:v>
                </c:pt>
                <c:pt idx="492">
                  <c:v>44963</c:v>
                </c:pt>
                <c:pt idx="493">
                  <c:v>44964</c:v>
                </c:pt>
                <c:pt idx="494">
                  <c:v>44965</c:v>
                </c:pt>
                <c:pt idx="495">
                  <c:v>44966</c:v>
                </c:pt>
                <c:pt idx="496">
                  <c:v>44967</c:v>
                </c:pt>
                <c:pt idx="497">
                  <c:v>44970</c:v>
                </c:pt>
                <c:pt idx="498">
                  <c:v>44971</c:v>
                </c:pt>
                <c:pt idx="499">
                  <c:v>44972</c:v>
                </c:pt>
                <c:pt idx="500">
                  <c:v>44973</c:v>
                </c:pt>
                <c:pt idx="501">
                  <c:v>44974</c:v>
                </c:pt>
                <c:pt idx="502">
                  <c:v>44978</c:v>
                </c:pt>
                <c:pt idx="503">
                  <c:v>44979</c:v>
                </c:pt>
                <c:pt idx="504">
                  <c:v>44980</c:v>
                </c:pt>
                <c:pt idx="505">
                  <c:v>44981</c:v>
                </c:pt>
                <c:pt idx="506">
                  <c:v>44984</c:v>
                </c:pt>
                <c:pt idx="507">
                  <c:v>44985</c:v>
                </c:pt>
                <c:pt idx="508">
                  <c:v>44986</c:v>
                </c:pt>
                <c:pt idx="509">
                  <c:v>44987</c:v>
                </c:pt>
                <c:pt idx="510">
                  <c:v>44988</c:v>
                </c:pt>
                <c:pt idx="511">
                  <c:v>44991</c:v>
                </c:pt>
                <c:pt idx="512">
                  <c:v>44992</c:v>
                </c:pt>
                <c:pt idx="513">
                  <c:v>44993</c:v>
                </c:pt>
                <c:pt idx="514">
                  <c:v>44994</c:v>
                </c:pt>
                <c:pt idx="515">
                  <c:v>44995</c:v>
                </c:pt>
                <c:pt idx="516">
                  <c:v>44998</c:v>
                </c:pt>
                <c:pt idx="517">
                  <c:v>44999</c:v>
                </c:pt>
                <c:pt idx="518">
                  <c:v>45000</c:v>
                </c:pt>
                <c:pt idx="519">
                  <c:v>45001</c:v>
                </c:pt>
                <c:pt idx="520">
                  <c:v>45002</c:v>
                </c:pt>
                <c:pt idx="521">
                  <c:v>45005</c:v>
                </c:pt>
                <c:pt idx="522">
                  <c:v>45006</c:v>
                </c:pt>
                <c:pt idx="523">
                  <c:v>45007</c:v>
                </c:pt>
                <c:pt idx="524">
                  <c:v>45008</c:v>
                </c:pt>
                <c:pt idx="525">
                  <c:v>45009</c:v>
                </c:pt>
                <c:pt idx="526">
                  <c:v>45012</c:v>
                </c:pt>
                <c:pt idx="527">
                  <c:v>45013</c:v>
                </c:pt>
                <c:pt idx="528">
                  <c:v>45014</c:v>
                </c:pt>
                <c:pt idx="529">
                  <c:v>45015</c:v>
                </c:pt>
                <c:pt idx="530">
                  <c:v>45016</c:v>
                </c:pt>
                <c:pt idx="531">
                  <c:v>45019</c:v>
                </c:pt>
                <c:pt idx="532">
                  <c:v>45020</c:v>
                </c:pt>
                <c:pt idx="533">
                  <c:v>45021</c:v>
                </c:pt>
                <c:pt idx="534">
                  <c:v>45022</c:v>
                </c:pt>
                <c:pt idx="535">
                  <c:v>45026</c:v>
                </c:pt>
                <c:pt idx="536">
                  <c:v>45027</c:v>
                </c:pt>
                <c:pt idx="537">
                  <c:v>45028</c:v>
                </c:pt>
                <c:pt idx="538">
                  <c:v>45029</c:v>
                </c:pt>
                <c:pt idx="539">
                  <c:v>45030</c:v>
                </c:pt>
                <c:pt idx="540">
                  <c:v>45033</c:v>
                </c:pt>
                <c:pt idx="541">
                  <c:v>45034</c:v>
                </c:pt>
                <c:pt idx="542">
                  <c:v>45035</c:v>
                </c:pt>
                <c:pt idx="543">
                  <c:v>45036</c:v>
                </c:pt>
                <c:pt idx="544">
                  <c:v>45037</c:v>
                </c:pt>
                <c:pt idx="545">
                  <c:v>45040</c:v>
                </c:pt>
                <c:pt idx="546">
                  <c:v>45041</c:v>
                </c:pt>
                <c:pt idx="547">
                  <c:v>45042</c:v>
                </c:pt>
                <c:pt idx="548">
                  <c:v>45043</c:v>
                </c:pt>
                <c:pt idx="549">
                  <c:v>45044</c:v>
                </c:pt>
                <c:pt idx="550">
                  <c:v>45047</c:v>
                </c:pt>
                <c:pt idx="551">
                  <c:v>45048</c:v>
                </c:pt>
                <c:pt idx="552">
                  <c:v>45049</c:v>
                </c:pt>
                <c:pt idx="553">
                  <c:v>45050</c:v>
                </c:pt>
                <c:pt idx="554">
                  <c:v>45051</c:v>
                </c:pt>
                <c:pt idx="555">
                  <c:v>45054</c:v>
                </c:pt>
                <c:pt idx="556">
                  <c:v>45055</c:v>
                </c:pt>
                <c:pt idx="557">
                  <c:v>45056</c:v>
                </c:pt>
                <c:pt idx="558">
                  <c:v>45057</c:v>
                </c:pt>
                <c:pt idx="559">
                  <c:v>45058</c:v>
                </c:pt>
                <c:pt idx="560">
                  <c:v>45061</c:v>
                </c:pt>
                <c:pt idx="561">
                  <c:v>45062</c:v>
                </c:pt>
                <c:pt idx="562">
                  <c:v>45063</c:v>
                </c:pt>
                <c:pt idx="563">
                  <c:v>45064</c:v>
                </c:pt>
                <c:pt idx="564">
                  <c:v>45065</c:v>
                </c:pt>
                <c:pt idx="565">
                  <c:v>45068</c:v>
                </c:pt>
                <c:pt idx="566">
                  <c:v>45069</c:v>
                </c:pt>
                <c:pt idx="567">
                  <c:v>45070</c:v>
                </c:pt>
                <c:pt idx="568">
                  <c:v>45071</c:v>
                </c:pt>
                <c:pt idx="569">
                  <c:v>45072</c:v>
                </c:pt>
                <c:pt idx="570">
                  <c:v>45076</c:v>
                </c:pt>
                <c:pt idx="571">
                  <c:v>45077</c:v>
                </c:pt>
                <c:pt idx="572">
                  <c:v>45078</c:v>
                </c:pt>
                <c:pt idx="573">
                  <c:v>45079</c:v>
                </c:pt>
                <c:pt idx="574">
                  <c:v>45082</c:v>
                </c:pt>
                <c:pt idx="575">
                  <c:v>45083</c:v>
                </c:pt>
                <c:pt idx="576">
                  <c:v>45084</c:v>
                </c:pt>
                <c:pt idx="577">
                  <c:v>45085</c:v>
                </c:pt>
                <c:pt idx="578">
                  <c:v>45086</c:v>
                </c:pt>
                <c:pt idx="579">
                  <c:v>45089</c:v>
                </c:pt>
                <c:pt idx="580">
                  <c:v>45090</c:v>
                </c:pt>
                <c:pt idx="581">
                  <c:v>45091</c:v>
                </c:pt>
                <c:pt idx="582">
                  <c:v>45092</c:v>
                </c:pt>
                <c:pt idx="583">
                  <c:v>45093</c:v>
                </c:pt>
                <c:pt idx="584">
                  <c:v>45097</c:v>
                </c:pt>
                <c:pt idx="585">
                  <c:v>45098</c:v>
                </c:pt>
                <c:pt idx="586">
                  <c:v>45099</c:v>
                </c:pt>
                <c:pt idx="587">
                  <c:v>45100</c:v>
                </c:pt>
                <c:pt idx="588">
                  <c:v>45103</c:v>
                </c:pt>
                <c:pt idx="589">
                  <c:v>45104</c:v>
                </c:pt>
                <c:pt idx="590">
                  <c:v>45105</c:v>
                </c:pt>
                <c:pt idx="591">
                  <c:v>45106</c:v>
                </c:pt>
                <c:pt idx="592">
                  <c:v>45107</c:v>
                </c:pt>
                <c:pt idx="593">
                  <c:v>45110</c:v>
                </c:pt>
                <c:pt idx="594">
                  <c:v>45112</c:v>
                </c:pt>
                <c:pt idx="595">
                  <c:v>45113</c:v>
                </c:pt>
                <c:pt idx="596">
                  <c:v>45114</c:v>
                </c:pt>
                <c:pt idx="597">
                  <c:v>45117</c:v>
                </c:pt>
                <c:pt idx="598">
                  <c:v>45118</c:v>
                </c:pt>
                <c:pt idx="599">
                  <c:v>45119</c:v>
                </c:pt>
                <c:pt idx="600">
                  <c:v>45120</c:v>
                </c:pt>
                <c:pt idx="601">
                  <c:v>45121</c:v>
                </c:pt>
                <c:pt idx="602">
                  <c:v>45124</c:v>
                </c:pt>
                <c:pt idx="603">
                  <c:v>45125</c:v>
                </c:pt>
                <c:pt idx="604">
                  <c:v>45126</c:v>
                </c:pt>
                <c:pt idx="605">
                  <c:v>45127</c:v>
                </c:pt>
                <c:pt idx="606">
                  <c:v>45128</c:v>
                </c:pt>
                <c:pt idx="607">
                  <c:v>45131</c:v>
                </c:pt>
                <c:pt idx="608">
                  <c:v>45132</c:v>
                </c:pt>
                <c:pt idx="609">
                  <c:v>45133</c:v>
                </c:pt>
                <c:pt idx="610">
                  <c:v>45134</c:v>
                </c:pt>
                <c:pt idx="611">
                  <c:v>45135</c:v>
                </c:pt>
                <c:pt idx="612">
                  <c:v>45138</c:v>
                </c:pt>
                <c:pt idx="613">
                  <c:v>45139</c:v>
                </c:pt>
                <c:pt idx="614">
                  <c:v>45140</c:v>
                </c:pt>
                <c:pt idx="615">
                  <c:v>45141</c:v>
                </c:pt>
                <c:pt idx="616">
                  <c:v>45142</c:v>
                </c:pt>
                <c:pt idx="617">
                  <c:v>45145</c:v>
                </c:pt>
                <c:pt idx="618">
                  <c:v>45146</c:v>
                </c:pt>
                <c:pt idx="619">
                  <c:v>45147</c:v>
                </c:pt>
                <c:pt idx="620">
                  <c:v>45148</c:v>
                </c:pt>
                <c:pt idx="621">
                  <c:v>45149</c:v>
                </c:pt>
                <c:pt idx="622">
                  <c:v>45152</c:v>
                </c:pt>
                <c:pt idx="623">
                  <c:v>45153</c:v>
                </c:pt>
                <c:pt idx="624">
                  <c:v>45154</c:v>
                </c:pt>
                <c:pt idx="625">
                  <c:v>45155</c:v>
                </c:pt>
                <c:pt idx="626">
                  <c:v>45156</c:v>
                </c:pt>
                <c:pt idx="627">
                  <c:v>45159</c:v>
                </c:pt>
                <c:pt idx="628">
                  <c:v>45160</c:v>
                </c:pt>
                <c:pt idx="629">
                  <c:v>45161</c:v>
                </c:pt>
                <c:pt idx="630">
                  <c:v>45162</c:v>
                </c:pt>
                <c:pt idx="631">
                  <c:v>45163</c:v>
                </c:pt>
                <c:pt idx="632">
                  <c:v>45166</c:v>
                </c:pt>
                <c:pt idx="633">
                  <c:v>45167</c:v>
                </c:pt>
                <c:pt idx="634">
                  <c:v>45168</c:v>
                </c:pt>
                <c:pt idx="635">
                  <c:v>45169</c:v>
                </c:pt>
                <c:pt idx="636">
                  <c:v>45170</c:v>
                </c:pt>
                <c:pt idx="637">
                  <c:v>45174</c:v>
                </c:pt>
                <c:pt idx="638">
                  <c:v>45175</c:v>
                </c:pt>
                <c:pt idx="639">
                  <c:v>45176</c:v>
                </c:pt>
                <c:pt idx="640">
                  <c:v>45177</c:v>
                </c:pt>
                <c:pt idx="641">
                  <c:v>45180</c:v>
                </c:pt>
                <c:pt idx="642">
                  <c:v>45181</c:v>
                </c:pt>
                <c:pt idx="643">
                  <c:v>45182</c:v>
                </c:pt>
                <c:pt idx="644">
                  <c:v>45183</c:v>
                </c:pt>
                <c:pt idx="645">
                  <c:v>45184</c:v>
                </c:pt>
                <c:pt idx="646">
                  <c:v>45187</c:v>
                </c:pt>
                <c:pt idx="647">
                  <c:v>45188</c:v>
                </c:pt>
                <c:pt idx="648">
                  <c:v>45189</c:v>
                </c:pt>
                <c:pt idx="649">
                  <c:v>45190</c:v>
                </c:pt>
                <c:pt idx="650">
                  <c:v>45191</c:v>
                </c:pt>
                <c:pt idx="651">
                  <c:v>45194</c:v>
                </c:pt>
                <c:pt idx="652">
                  <c:v>45195</c:v>
                </c:pt>
                <c:pt idx="653">
                  <c:v>45196</c:v>
                </c:pt>
                <c:pt idx="654">
                  <c:v>45197</c:v>
                </c:pt>
                <c:pt idx="655">
                  <c:v>45198</c:v>
                </c:pt>
                <c:pt idx="656">
                  <c:v>45201</c:v>
                </c:pt>
                <c:pt idx="657">
                  <c:v>45202</c:v>
                </c:pt>
                <c:pt idx="658">
                  <c:v>45203</c:v>
                </c:pt>
                <c:pt idx="659">
                  <c:v>45204</c:v>
                </c:pt>
                <c:pt idx="660">
                  <c:v>45205</c:v>
                </c:pt>
                <c:pt idx="661">
                  <c:v>45208</c:v>
                </c:pt>
                <c:pt idx="662">
                  <c:v>45209</c:v>
                </c:pt>
                <c:pt idx="663">
                  <c:v>45210</c:v>
                </c:pt>
                <c:pt idx="664">
                  <c:v>45211</c:v>
                </c:pt>
                <c:pt idx="665">
                  <c:v>45212</c:v>
                </c:pt>
                <c:pt idx="666">
                  <c:v>45215</c:v>
                </c:pt>
                <c:pt idx="667">
                  <c:v>45216</c:v>
                </c:pt>
                <c:pt idx="668">
                  <c:v>45217</c:v>
                </c:pt>
                <c:pt idx="669">
                  <c:v>45218</c:v>
                </c:pt>
                <c:pt idx="670">
                  <c:v>45219</c:v>
                </c:pt>
                <c:pt idx="671">
                  <c:v>45222</c:v>
                </c:pt>
                <c:pt idx="672">
                  <c:v>45223</c:v>
                </c:pt>
                <c:pt idx="673">
                  <c:v>45224</c:v>
                </c:pt>
                <c:pt idx="674">
                  <c:v>45225</c:v>
                </c:pt>
                <c:pt idx="675">
                  <c:v>45226</c:v>
                </c:pt>
                <c:pt idx="676">
                  <c:v>45229</c:v>
                </c:pt>
                <c:pt idx="677">
                  <c:v>45230</c:v>
                </c:pt>
                <c:pt idx="678">
                  <c:v>45231</c:v>
                </c:pt>
                <c:pt idx="679">
                  <c:v>45232</c:v>
                </c:pt>
                <c:pt idx="680">
                  <c:v>45233</c:v>
                </c:pt>
                <c:pt idx="681">
                  <c:v>45236</c:v>
                </c:pt>
                <c:pt idx="682">
                  <c:v>45237</c:v>
                </c:pt>
                <c:pt idx="683">
                  <c:v>45238</c:v>
                </c:pt>
                <c:pt idx="684">
                  <c:v>45239</c:v>
                </c:pt>
                <c:pt idx="685">
                  <c:v>45240</c:v>
                </c:pt>
                <c:pt idx="686">
                  <c:v>45243</c:v>
                </c:pt>
                <c:pt idx="687">
                  <c:v>45244</c:v>
                </c:pt>
                <c:pt idx="688">
                  <c:v>45245</c:v>
                </c:pt>
                <c:pt idx="689">
                  <c:v>45246</c:v>
                </c:pt>
                <c:pt idx="690">
                  <c:v>45247</c:v>
                </c:pt>
                <c:pt idx="691">
                  <c:v>45250</c:v>
                </c:pt>
                <c:pt idx="692">
                  <c:v>45251</c:v>
                </c:pt>
                <c:pt idx="693">
                  <c:v>45252</c:v>
                </c:pt>
                <c:pt idx="694">
                  <c:v>45254</c:v>
                </c:pt>
                <c:pt idx="695">
                  <c:v>45257</c:v>
                </c:pt>
                <c:pt idx="696">
                  <c:v>45258</c:v>
                </c:pt>
                <c:pt idx="697">
                  <c:v>45259</c:v>
                </c:pt>
                <c:pt idx="698">
                  <c:v>45260</c:v>
                </c:pt>
                <c:pt idx="699">
                  <c:v>45261</c:v>
                </c:pt>
                <c:pt idx="700">
                  <c:v>45264</c:v>
                </c:pt>
                <c:pt idx="701">
                  <c:v>45265</c:v>
                </c:pt>
                <c:pt idx="702">
                  <c:v>45266</c:v>
                </c:pt>
                <c:pt idx="703">
                  <c:v>45267</c:v>
                </c:pt>
                <c:pt idx="704">
                  <c:v>45268</c:v>
                </c:pt>
                <c:pt idx="705">
                  <c:v>45271</c:v>
                </c:pt>
                <c:pt idx="706">
                  <c:v>45272</c:v>
                </c:pt>
                <c:pt idx="707">
                  <c:v>45273</c:v>
                </c:pt>
                <c:pt idx="708">
                  <c:v>45274</c:v>
                </c:pt>
                <c:pt idx="709">
                  <c:v>45275</c:v>
                </c:pt>
                <c:pt idx="710">
                  <c:v>45278</c:v>
                </c:pt>
                <c:pt idx="711">
                  <c:v>45279</c:v>
                </c:pt>
                <c:pt idx="712">
                  <c:v>45280</c:v>
                </c:pt>
                <c:pt idx="713">
                  <c:v>45281</c:v>
                </c:pt>
                <c:pt idx="714">
                  <c:v>45282</c:v>
                </c:pt>
                <c:pt idx="715">
                  <c:v>45286</c:v>
                </c:pt>
                <c:pt idx="716">
                  <c:v>45287</c:v>
                </c:pt>
                <c:pt idx="717">
                  <c:v>45288</c:v>
                </c:pt>
                <c:pt idx="718">
                  <c:v>45289</c:v>
                </c:pt>
                <c:pt idx="719">
                  <c:v>45293</c:v>
                </c:pt>
                <c:pt idx="720">
                  <c:v>45294</c:v>
                </c:pt>
                <c:pt idx="721">
                  <c:v>45295</c:v>
                </c:pt>
                <c:pt idx="722">
                  <c:v>45296</c:v>
                </c:pt>
                <c:pt idx="723">
                  <c:v>45299</c:v>
                </c:pt>
                <c:pt idx="724">
                  <c:v>45300</c:v>
                </c:pt>
                <c:pt idx="725">
                  <c:v>45301</c:v>
                </c:pt>
                <c:pt idx="726">
                  <c:v>45302</c:v>
                </c:pt>
                <c:pt idx="727">
                  <c:v>45303</c:v>
                </c:pt>
                <c:pt idx="728">
                  <c:v>45307</c:v>
                </c:pt>
                <c:pt idx="729">
                  <c:v>45308</c:v>
                </c:pt>
                <c:pt idx="730">
                  <c:v>45309</c:v>
                </c:pt>
                <c:pt idx="731">
                  <c:v>45310</c:v>
                </c:pt>
                <c:pt idx="732">
                  <c:v>45313</c:v>
                </c:pt>
                <c:pt idx="733">
                  <c:v>45314</c:v>
                </c:pt>
                <c:pt idx="734">
                  <c:v>45315</c:v>
                </c:pt>
                <c:pt idx="735">
                  <c:v>45316</c:v>
                </c:pt>
                <c:pt idx="736">
                  <c:v>45317</c:v>
                </c:pt>
                <c:pt idx="737">
                  <c:v>45320</c:v>
                </c:pt>
                <c:pt idx="738">
                  <c:v>45321</c:v>
                </c:pt>
                <c:pt idx="739">
                  <c:v>45322</c:v>
                </c:pt>
                <c:pt idx="740">
                  <c:v>45323</c:v>
                </c:pt>
                <c:pt idx="741">
                  <c:v>45324</c:v>
                </c:pt>
                <c:pt idx="742">
                  <c:v>45327</c:v>
                </c:pt>
                <c:pt idx="743">
                  <c:v>45328</c:v>
                </c:pt>
                <c:pt idx="744">
                  <c:v>45329</c:v>
                </c:pt>
                <c:pt idx="745">
                  <c:v>45330</c:v>
                </c:pt>
                <c:pt idx="746">
                  <c:v>45331</c:v>
                </c:pt>
                <c:pt idx="747">
                  <c:v>45334</c:v>
                </c:pt>
                <c:pt idx="748">
                  <c:v>45335</c:v>
                </c:pt>
                <c:pt idx="749">
                  <c:v>45336</c:v>
                </c:pt>
                <c:pt idx="750">
                  <c:v>45337</c:v>
                </c:pt>
                <c:pt idx="751">
                  <c:v>45338</c:v>
                </c:pt>
                <c:pt idx="752">
                  <c:v>45342</c:v>
                </c:pt>
                <c:pt idx="753">
                  <c:v>45343</c:v>
                </c:pt>
                <c:pt idx="754">
                  <c:v>45344</c:v>
                </c:pt>
                <c:pt idx="755">
                  <c:v>45345</c:v>
                </c:pt>
                <c:pt idx="756">
                  <c:v>45348</c:v>
                </c:pt>
                <c:pt idx="757">
                  <c:v>45349</c:v>
                </c:pt>
                <c:pt idx="758">
                  <c:v>45350</c:v>
                </c:pt>
                <c:pt idx="759">
                  <c:v>45351</c:v>
                </c:pt>
                <c:pt idx="760">
                  <c:v>45352</c:v>
                </c:pt>
                <c:pt idx="761">
                  <c:v>45355</c:v>
                </c:pt>
                <c:pt idx="762">
                  <c:v>45356</c:v>
                </c:pt>
                <c:pt idx="763">
                  <c:v>45357</c:v>
                </c:pt>
                <c:pt idx="764">
                  <c:v>45358</c:v>
                </c:pt>
                <c:pt idx="765">
                  <c:v>45359</c:v>
                </c:pt>
                <c:pt idx="766">
                  <c:v>45362</c:v>
                </c:pt>
                <c:pt idx="767">
                  <c:v>45363</c:v>
                </c:pt>
                <c:pt idx="768">
                  <c:v>45364</c:v>
                </c:pt>
                <c:pt idx="769">
                  <c:v>45365</c:v>
                </c:pt>
                <c:pt idx="770">
                  <c:v>45366</c:v>
                </c:pt>
                <c:pt idx="771">
                  <c:v>45369</c:v>
                </c:pt>
                <c:pt idx="772">
                  <c:v>45370</c:v>
                </c:pt>
                <c:pt idx="773">
                  <c:v>45371</c:v>
                </c:pt>
                <c:pt idx="774">
                  <c:v>45372</c:v>
                </c:pt>
                <c:pt idx="775">
                  <c:v>45373</c:v>
                </c:pt>
                <c:pt idx="776">
                  <c:v>45376</c:v>
                </c:pt>
                <c:pt idx="777">
                  <c:v>45377</c:v>
                </c:pt>
                <c:pt idx="778">
                  <c:v>45378</c:v>
                </c:pt>
                <c:pt idx="779">
                  <c:v>45379</c:v>
                </c:pt>
                <c:pt idx="780">
                  <c:v>45383</c:v>
                </c:pt>
                <c:pt idx="781">
                  <c:v>45384</c:v>
                </c:pt>
                <c:pt idx="782">
                  <c:v>45385</c:v>
                </c:pt>
                <c:pt idx="783">
                  <c:v>45386</c:v>
                </c:pt>
                <c:pt idx="784">
                  <c:v>45387</c:v>
                </c:pt>
                <c:pt idx="785">
                  <c:v>45390</c:v>
                </c:pt>
                <c:pt idx="786">
                  <c:v>45391</c:v>
                </c:pt>
                <c:pt idx="787">
                  <c:v>45392</c:v>
                </c:pt>
                <c:pt idx="788">
                  <c:v>45393</c:v>
                </c:pt>
                <c:pt idx="789">
                  <c:v>45394</c:v>
                </c:pt>
                <c:pt idx="790">
                  <c:v>45397</c:v>
                </c:pt>
                <c:pt idx="791">
                  <c:v>45398</c:v>
                </c:pt>
                <c:pt idx="792">
                  <c:v>45399</c:v>
                </c:pt>
                <c:pt idx="793">
                  <c:v>45400</c:v>
                </c:pt>
                <c:pt idx="794">
                  <c:v>45401</c:v>
                </c:pt>
                <c:pt idx="795">
                  <c:v>45404</c:v>
                </c:pt>
                <c:pt idx="796">
                  <c:v>45405</c:v>
                </c:pt>
                <c:pt idx="797">
                  <c:v>45406</c:v>
                </c:pt>
                <c:pt idx="798">
                  <c:v>45407</c:v>
                </c:pt>
                <c:pt idx="799">
                  <c:v>45408</c:v>
                </c:pt>
                <c:pt idx="800">
                  <c:v>45411</c:v>
                </c:pt>
                <c:pt idx="801">
                  <c:v>45412</c:v>
                </c:pt>
                <c:pt idx="802">
                  <c:v>45413</c:v>
                </c:pt>
                <c:pt idx="803">
                  <c:v>45414</c:v>
                </c:pt>
                <c:pt idx="804">
                  <c:v>45415</c:v>
                </c:pt>
                <c:pt idx="805">
                  <c:v>45418</c:v>
                </c:pt>
                <c:pt idx="806">
                  <c:v>45419</c:v>
                </c:pt>
                <c:pt idx="807">
                  <c:v>45420</c:v>
                </c:pt>
                <c:pt idx="808">
                  <c:v>45421</c:v>
                </c:pt>
                <c:pt idx="809">
                  <c:v>45422</c:v>
                </c:pt>
                <c:pt idx="810">
                  <c:v>45425</c:v>
                </c:pt>
                <c:pt idx="811">
                  <c:v>45426</c:v>
                </c:pt>
                <c:pt idx="812">
                  <c:v>45427</c:v>
                </c:pt>
                <c:pt idx="813">
                  <c:v>45428</c:v>
                </c:pt>
                <c:pt idx="814">
                  <c:v>45429</c:v>
                </c:pt>
                <c:pt idx="815">
                  <c:v>45432</c:v>
                </c:pt>
                <c:pt idx="816">
                  <c:v>45433</c:v>
                </c:pt>
                <c:pt idx="817">
                  <c:v>45434</c:v>
                </c:pt>
                <c:pt idx="818">
                  <c:v>45435</c:v>
                </c:pt>
                <c:pt idx="819">
                  <c:v>45436</c:v>
                </c:pt>
                <c:pt idx="820">
                  <c:v>45440</c:v>
                </c:pt>
                <c:pt idx="821">
                  <c:v>45441</c:v>
                </c:pt>
                <c:pt idx="822">
                  <c:v>45442</c:v>
                </c:pt>
                <c:pt idx="823">
                  <c:v>45443</c:v>
                </c:pt>
                <c:pt idx="824">
                  <c:v>45446</c:v>
                </c:pt>
                <c:pt idx="825">
                  <c:v>45447</c:v>
                </c:pt>
                <c:pt idx="826">
                  <c:v>45448</c:v>
                </c:pt>
                <c:pt idx="827">
                  <c:v>45449</c:v>
                </c:pt>
                <c:pt idx="828">
                  <c:v>45450</c:v>
                </c:pt>
                <c:pt idx="829">
                  <c:v>45453</c:v>
                </c:pt>
                <c:pt idx="830">
                  <c:v>45454</c:v>
                </c:pt>
                <c:pt idx="831">
                  <c:v>45455</c:v>
                </c:pt>
                <c:pt idx="832">
                  <c:v>45456</c:v>
                </c:pt>
                <c:pt idx="833">
                  <c:v>45457</c:v>
                </c:pt>
                <c:pt idx="834">
                  <c:v>45460</c:v>
                </c:pt>
                <c:pt idx="835">
                  <c:v>45461</c:v>
                </c:pt>
                <c:pt idx="836">
                  <c:v>45463</c:v>
                </c:pt>
                <c:pt idx="837">
                  <c:v>45464</c:v>
                </c:pt>
                <c:pt idx="838">
                  <c:v>45467</c:v>
                </c:pt>
                <c:pt idx="839">
                  <c:v>45468</c:v>
                </c:pt>
                <c:pt idx="840">
                  <c:v>45469</c:v>
                </c:pt>
                <c:pt idx="841">
                  <c:v>45470</c:v>
                </c:pt>
                <c:pt idx="842">
                  <c:v>45471</c:v>
                </c:pt>
                <c:pt idx="843">
                  <c:v>45474</c:v>
                </c:pt>
                <c:pt idx="844">
                  <c:v>45475</c:v>
                </c:pt>
                <c:pt idx="845">
                  <c:v>45476</c:v>
                </c:pt>
                <c:pt idx="846">
                  <c:v>45478</c:v>
                </c:pt>
                <c:pt idx="847">
                  <c:v>45481</c:v>
                </c:pt>
                <c:pt idx="848">
                  <c:v>45482</c:v>
                </c:pt>
                <c:pt idx="849">
                  <c:v>45483</c:v>
                </c:pt>
                <c:pt idx="850">
                  <c:v>45484</c:v>
                </c:pt>
                <c:pt idx="851">
                  <c:v>45485</c:v>
                </c:pt>
                <c:pt idx="852">
                  <c:v>45488</c:v>
                </c:pt>
                <c:pt idx="853">
                  <c:v>45489</c:v>
                </c:pt>
                <c:pt idx="854">
                  <c:v>45490</c:v>
                </c:pt>
                <c:pt idx="855">
                  <c:v>45491</c:v>
                </c:pt>
                <c:pt idx="856">
                  <c:v>45492</c:v>
                </c:pt>
                <c:pt idx="857">
                  <c:v>45495</c:v>
                </c:pt>
                <c:pt idx="858">
                  <c:v>45496</c:v>
                </c:pt>
                <c:pt idx="859">
                  <c:v>45497</c:v>
                </c:pt>
                <c:pt idx="860">
                  <c:v>45498</c:v>
                </c:pt>
                <c:pt idx="861">
                  <c:v>45499</c:v>
                </c:pt>
                <c:pt idx="862">
                  <c:v>45502</c:v>
                </c:pt>
                <c:pt idx="863">
                  <c:v>45503</c:v>
                </c:pt>
                <c:pt idx="864">
                  <c:v>45504</c:v>
                </c:pt>
                <c:pt idx="865">
                  <c:v>45505</c:v>
                </c:pt>
                <c:pt idx="866">
                  <c:v>45506</c:v>
                </c:pt>
                <c:pt idx="867">
                  <c:v>45509</c:v>
                </c:pt>
                <c:pt idx="868">
                  <c:v>45510</c:v>
                </c:pt>
                <c:pt idx="869">
                  <c:v>45511</c:v>
                </c:pt>
                <c:pt idx="870">
                  <c:v>45512</c:v>
                </c:pt>
                <c:pt idx="871">
                  <c:v>45513</c:v>
                </c:pt>
                <c:pt idx="872">
                  <c:v>45516</c:v>
                </c:pt>
                <c:pt idx="873">
                  <c:v>45517</c:v>
                </c:pt>
                <c:pt idx="874">
                  <c:v>45518</c:v>
                </c:pt>
                <c:pt idx="875">
                  <c:v>45519</c:v>
                </c:pt>
                <c:pt idx="876">
                  <c:v>45520</c:v>
                </c:pt>
                <c:pt idx="877">
                  <c:v>45523</c:v>
                </c:pt>
                <c:pt idx="878">
                  <c:v>45524</c:v>
                </c:pt>
                <c:pt idx="879">
                  <c:v>45525</c:v>
                </c:pt>
                <c:pt idx="880">
                  <c:v>45526</c:v>
                </c:pt>
                <c:pt idx="881">
                  <c:v>45527</c:v>
                </c:pt>
                <c:pt idx="882">
                  <c:v>45530</c:v>
                </c:pt>
                <c:pt idx="883">
                  <c:v>45531</c:v>
                </c:pt>
                <c:pt idx="884">
                  <c:v>45532</c:v>
                </c:pt>
                <c:pt idx="885">
                  <c:v>45533</c:v>
                </c:pt>
                <c:pt idx="886">
                  <c:v>45534</c:v>
                </c:pt>
                <c:pt idx="887">
                  <c:v>45538</c:v>
                </c:pt>
                <c:pt idx="888">
                  <c:v>45539</c:v>
                </c:pt>
                <c:pt idx="889">
                  <c:v>45540</c:v>
                </c:pt>
                <c:pt idx="890">
                  <c:v>45541</c:v>
                </c:pt>
                <c:pt idx="891">
                  <c:v>45544</c:v>
                </c:pt>
                <c:pt idx="892">
                  <c:v>45545</c:v>
                </c:pt>
                <c:pt idx="893">
                  <c:v>45546</c:v>
                </c:pt>
                <c:pt idx="894">
                  <c:v>45547</c:v>
                </c:pt>
                <c:pt idx="895">
                  <c:v>45548</c:v>
                </c:pt>
                <c:pt idx="896">
                  <c:v>45551</c:v>
                </c:pt>
                <c:pt idx="897">
                  <c:v>45552</c:v>
                </c:pt>
                <c:pt idx="898">
                  <c:v>45553</c:v>
                </c:pt>
                <c:pt idx="899">
                  <c:v>45554</c:v>
                </c:pt>
                <c:pt idx="900">
                  <c:v>45555</c:v>
                </c:pt>
                <c:pt idx="901">
                  <c:v>45558</c:v>
                </c:pt>
                <c:pt idx="902">
                  <c:v>45559</c:v>
                </c:pt>
                <c:pt idx="903">
                  <c:v>45560</c:v>
                </c:pt>
                <c:pt idx="904">
                  <c:v>45561</c:v>
                </c:pt>
                <c:pt idx="905">
                  <c:v>45562</c:v>
                </c:pt>
                <c:pt idx="906">
                  <c:v>45565</c:v>
                </c:pt>
                <c:pt idx="907">
                  <c:v>45566</c:v>
                </c:pt>
                <c:pt idx="908">
                  <c:v>45567</c:v>
                </c:pt>
                <c:pt idx="909">
                  <c:v>45568</c:v>
                </c:pt>
                <c:pt idx="910">
                  <c:v>45569</c:v>
                </c:pt>
                <c:pt idx="911">
                  <c:v>45572</c:v>
                </c:pt>
                <c:pt idx="912">
                  <c:v>45573</c:v>
                </c:pt>
                <c:pt idx="913">
                  <c:v>45574</c:v>
                </c:pt>
                <c:pt idx="914">
                  <c:v>45575</c:v>
                </c:pt>
                <c:pt idx="915">
                  <c:v>45576</c:v>
                </c:pt>
                <c:pt idx="916">
                  <c:v>45579</c:v>
                </c:pt>
                <c:pt idx="917">
                  <c:v>45580</c:v>
                </c:pt>
                <c:pt idx="918">
                  <c:v>45581</c:v>
                </c:pt>
                <c:pt idx="919">
                  <c:v>45582</c:v>
                </c:pt>
                <c:pt idx="920">
                  <c:v>45583</c:v>
                </c:pt>
                <c:pt idx="921">
                  <c:v>45586</c:v>
                </c:pt>
                <c:pt idx="922">
                  <c:v>45587</c:v>
                </c:pt>
                <c:pt idx="923">
                  <c:v>45588</c:v>
                </c:pt>
                <c:pt idx="924">
                  <c:v>45589</c:v>
                </c:pt>
                <c:pt idx="925">
                  <c:v>45590</c:v>
                </c:pt>
                <c:pt idx="926">
                  <c:v>45593</c:v>
                </c:pt>
                <c:pt idx="927">
                  <c:v>45594</c:v>
                </c:pt>
                <c:pt idx="928">
                  <c:v>45595</c:v>
                </c:pt>
                <c:pt idx="929">
                  <c:v>45596</c:v>
                </c:pt>
                <c:pt idx="930">
                  <c:v>45597</c:v>
                </c:pt>
                <c:pt idx="931">
                  <c:v>45600</c:v>
                </c:pt>
                <c:pt idx="932">
                  <c:v>45601</c:v>
                </c:pt>
                <c:pt idx="933">
                  <c:v>45602</c:v>
                </c:pt>
                <c:pt idx="934">
                  <c:v>45603</c:v>
                </c:pt>
                <c:pt idx="935">
                  <c:v>45604</c:v>
                </c:pt>
                <c:pt idx="936">
                  <c:v>45607</c:v>
                </c:pt>
                <c:pt idx="937">
                  <c:v>45608</c:v>
                </c:pt>
                <c:pt idx="938">
                  <c:v>45609</c:v>
                </c:pt>
                <c:pt idx="939">
                  <c:v>45610</c:v>
                </c:pt>
                <c:pt idx="940">
                  <c:v>45611</c:v>
                </c:pt>
                <c:pt idx="941">
                  <c:v>45614</c:v>
                </c:pt>
                <c:pt idx="942">
                  <c:v>45615</c:v>
                </c:pt>
                <c:pt idx="943">
                  <c:v>45616</c:v>
                </c:pt>
                <c:pt idx="944">
                  <c:v>45617</c:v>
                </c:pt>
                <c:pt idx="945">
                  <c:v>45618</c:v>
                </c:pt>
                <c:pt idx="946">
                  <c:v>45621</c:v>
                </c:pt>
                <c:pt idx="947">
                  <c:v>45622</c:v>
                </c:pt>
                <c:pt idx="948">
                  <c:v>45623</c:v>
                </c:pt>
                <c:pt idx="949">
                  <c:v>45625</c:v>
                </c:pt>
                <c:pt idx="950">
                  <c:v>45628</c:v>
                </c:pt>
                <c:pt idx="951">
                  <c:v>45629</c:v>
                </c:pt>
                <c:pt idx="952">
                  <c:v>45630</c:v>
                </c:pt>
                <c:pt idx="953">
                  <c:v>45631</c:v>
                </c:pt>
                <c:pt idx="954">
                  <c:v>45632</c:v>
                </c:pt>
                <c:pt idx="955">
                  <c:v>45635</c:v>
                </c:pt>
                <c:pt idx="956">
                  <c:v>45636</c:v>
                </c:pt>
                <c:pt idx="957">
                  <c:v>45637</c:v>
                </c:pt>
                <c:pt idx="958">
                  <c:v>45638</c:v>
                </c:pt>
                <c:pt idx="959">
                  <c:v>45639</c:v>
                </c:pt>
                <c:pt idx="960">
                  <c:v>45642</c:v>
                </c:pt>
                <c:pt idx="961">
                  <c:v>45643</c:v>
                </c:pt>
                <c:pt idx="962">
                  <c:v>45644</c:v>
                </c:pt>
                <c:pt idx="963">
                  <c:v>45645</c:v>
                </c:pt>
                <c:pt idx="964">
                  <c:v>45646</c:v>
                </c:pt>
                <c:pt idx="965">
                  <c:v>45649</c:v>
                </c:pt>
                <c:pt idx="966">
                  <c:v>45650</c:v>
                </c:pt>
                <c:pt idx="967">
                  <c:v>45652</c:v>
                </c:pt>
                <c:pt idx="968">
                  <c:v>45653</c:v>
                </c:pt>
                <c:pt idx="969">
                  <c:v>45656</c:v>
                </c:pt>
                <c:pt idx="970">
                  <c:v>45657</c:v>
                </c:pt>
                <c:pt idx="971">
                  <c:v>45659</c:v>
                </c:pt>
                <c:pt idx="972">
                  <c:v>45660</c:v>
                </c:pt>
                <c:pt idx="973">
                  <c:v>45663</c:v>
                </c:pt>
                <c:pt idx="974">
                  <c:v>45664</c:v>
                </c:pt>
                <c:pt idx="975">
                  <c:v>45665</c:v>
                </c:pt>
                <c:pt idx="976">
                  <c:v>45667</c:v>
                </c:pt>
                <c:pt idx="977">
                  <c:v>45670</c:v>
                </c:pt>
                <c:pt idx="978">
                  <c:v>45671</c:v>
                </c:pt>
                <c:pt idx="979">
                  <c:v>45672</c:v>
                </c:pt>
                <c:pt idx="980">
                  <c:v>45673</c:v>
                </c:pt>
                <c:pt idx="981">
                  <c:v>45674</c:v>
                </c:pt>
                <c:pt idx="982">
                  <c:v>45678</c:v>
                </c:pt>
                <c:pt idx="983">
                  <c:v>45679</c:v>
                </c:pt>
                <c:pt idx="984">
                  <c:v>45680</c:v>
                </c:pt>
                <c:pt idx="985">
                  <c:v>45681</c:v>
                </c:pt>
                <c:pt idx="986">
                  <c:v>45684</c:v>
                </c:pt>
                <c:pt idx="987">
                  <c:v>45685</c:v>
                </c:pt>
                <c:pt idx="988">
                  <c:v>45686</c:v>
                </c:pt>
                <c:pt idx="989">
                  <c:v>45687</c:v>
                </c:pt>
                <c:pt idx="990">
                  <c:v>45688</c:v>
                </c:pt>
                <c:pt idx="991">
                  <c:v>45691</c:v>
                </c:pt>
                <c:pt idx="992">
                  <c:v>45692</c:v>
                </c:pt>
                <c:pt idx="993">
                  <c:v>45693</c:v>
                </c:pt>
                <c:pt idx="994">
                  <c:v>45694</c:v>
                </c:pt>
                <c:pt idx="995">
                  <c:v>45695</c:v>
                </c:pt>
                <c:pt idx="996">
                  <c:v>45698</c:v>
                </c:pt>
                <c:pt idx="997">
                  <c:v>45699</c:v>
                </c:pt>
                <c:pt idx="998">
                  <c:v>45700</c:v>
                </c:pt>
                <c:pt idx="999">
                  <c:v>45701</c:v>
                </c:pt>
                <c:pt idx="1000">
                  <c:v>45702</c:v>
                </c:pt>
                <c:pt idx="1001">
                  <c:v>45706</c:v>
                </c:pt>
                <c:pt idx="1002">
                  <c:v>45707</c:v>
                </c:pt>
                <c:pt idx="1003">
                  <c:v>45708</c:v>
                </c:pt>
                <c:pt idx="1004">
                  <c:v>45709</c:v>
                </c:pt>
                <c:pt idx="1005">
                  <c:v>45712</c:v>
                </c:pt>
                <c:pt idx="1006">
                  <c:v>45713</c:v>
                </c:pt>
                <c:pt idx="1007">
                  <c:v>45714</c:v>
                </c:pt>
                <c:pt idx="1008">
                  <c:v>45715</c:v>
                </c:pt>
                <c:pt idx="1009">
                  <c:v>45716</c:v>
                </c:pt>
                <c:pt idx="1010">
                  <c:v>45719</c:v>
                </c:pt>
                <c:pt idx="1011">
                  <c:v>45720</c:v>
                </c:pt>
                <c:pt idx="1012">
                  <c:v>45721</c:v>
                </c:pt>
                <c:pt idx="1013">
                  <c:v>45722</c:v>
                </c:pt>
                <c:pt idx="1014">
                  <c:v>45723</c:v>
                </c:pt>
                <c:pt idx="1015">
                  <c:v>45726</c:v>
                </c:pt>
                <c:pt idx="1016">
                  <c:v>45727</c:v>
                </c:pt>
                <c:pt idx="1017">
                  <c:v>45728</c:v>
                </c:pt>
                <c:pt idx="1018">
                  <c:v>45729</c:v>
                </c:pt>
                <c:pt idx="1019">
                  <c:v>45730</c:v>
                </c:pt>
                <c:pt idx="1020">
                  <c:v>45733</c:v>
                </c:pt>
                <c:pt idx="1021">
                  <c:v>45734</c:v>
                </c:pt>
                <c:pt idx="1022">
                  <c:v>45735</c:v>
                </c:pt>
                <c:pt idx="1023">
                  <c:v>45736</c:v>
                </c:pt>
                <c:pt idx="1024">
                  <c:v>45737</c:v>
                </c:pt>
                <c:pt idx="1025">
                  <c:v>45740</c:v>
                </c:pt>
                <c:pt idx="1026">
                  <c:v>45741</c:v>
                </c:pt>
                <c:pt idx="1027">
                  <c:v>45742</c:v>
                </c:pt>
                <c:pt idx="1028">
                  <c:v>45743</c:v>
                </c:pt>
                <c:pt idx="1029">
                  <c:v>45744</c:v>
                </c:pt>
                <c:pt idx="1030">
                  <c:v>45747</c:v>
                </c:pt>
                <c:pt idx="1031">
                  <c:v>45748</c:v>
                </c:pt>
                <c:pt idx="1032">
                  <c:v>45749</c:v>
                </c:pt>
                <c:pt idx="1033">
                  <c:v>45750</c:v>
                </c:pt>
                <c:pt idx="1034">
                  <c:v>45751</c:v>
                </c:pt>
                <c:pt idx="1035">
                  <c:v>45754</c:v>
                </c:pt>
                <c:pt idx="1036">
                  <c:v>45755</c:v>
                </c:pt>
                <c:pt idx="1037">
                  <c:v>45756</c:v>
                </c:pt>
                <c:pt idx="1038">
                  <c:v>45757</c:v>
                </c:pt>
                <c:pt idx="1039">
                  <c:v>45758</c:v>
                </c:pt>
                <c:pt idx="1040">
                  <c:v>45761</c:v>
                </c:pt>
                <c:pt idx="1041">
                  <c:v>45762</c:v>
                </c:pt>
                <c:pt idx="1042">
                  <c:v>45763</c:v>
                </c:pt>
                <c:pt idx="1043">
                  <c:v>45764</c:v>
                </c:pt>
                <c:pt idx="1044">
                  <c:v>45768</c:v>
                </c:pt>
                <c:pt idx="1045">
                  <c:v>45769</c:v>
                </c:pt>
                <c:pt idx="1046">
                  <c:v>45770</c:v>
                </c:pt>
                <c:pt idx="1047">
                  <c:v>45771</c:v>
                </c:pt>
                <c:pt idx="1048">
                  <c:v>45772</c:v>
                </c:pt>
                <c:pt idx="1049">
                  <c:v>45775</c:v>
                </c:pt>
                <c:pt idx="1050">
                  <c:v>45776</c:v>
                </c:pt>
                <c:pt idx="1051">
                  <c:v>45777</c:v>
                </c:pt>
                <c:pt idx="1052">
                  <c:v>45778</c:v>
                </c:pt>
                <c:pt idx="1053">
                  <c:v>45779</c:v>
                </c:pt>
                <c:pt idx="1054">
                  <c:v>45782</c:v>
                </c:pt>
                <c:pt idx="1055">
                  <c:v>45783</c:v>
                </c:pt>
                <c:pt idx="1056">
                  <c:v>45784</c:v>
                </c:pt>
                <c:pt idx="1057">
                  <c:v>45785</c:v>
                </c:pt>
                <c:pt idx="1058">
                  <c:v>45786</c:v>
                </c:pt>
                <c:pt idx="1059">
                  <c:v>45789</c:v>
                </c:pt>
                <c:pt idx="1060">
                  <c:v>45790</c:v>
                </c:pt>
                <c:pt idx="1061">
                  <c:v>45791</c:v>
                </c:pt>
                <c:pt idx="1062">
                  <c:v>45792</c:v>
                </c:pt>
                <c:pt idx="1063">
                  <c:v>45793</c:v>
                </c:pt>
                <c:pt idx="1064">
                  <c:v>45796</c:v>
                </c:pt>
                <c:pt idx="1065">
                  <c:v>45797</c:v>
                </c:pt>
                <c:pt idx="1066">
                  <c:v>45798</c:v>
                </c:pt>
                <c:pt idx="1067">
                  <c:v>45799</c:v>
                </c:pt>
                <c:pt idx="1068">
                  <c:v>45800</c:v>
                </c:pt>
                <c:pt idx="1069">
                  <c:v>45804</c:v>
                </c:pt>
                <c:pt idx="1070">
                  <c:v>45805</c:v>
                </c:pt>
                <c:pt idx="1071">
                  <c:v>45806</c:v>
                </c:pt>
                <c:pt idx="1072">
                  <c:v>45807</c:v>
                </c:pt>
                <c:pt idx="1073">
                  <c:v>45810</c:v>
                </c:pt>
                <c:pt idx="1074">
                  <c:v>45811</c:v>
                </c:pt>
                <c:pt idx="1075">
                  <c:v>45812</c:v>
                </c:pt>
                <c:pt idx="1076">
                  <c:v>45813</c:v>
                </c:pt>
                <c:pt idx="1077">
                  <c:v>45814</c:v>
                </c:pt>
                <c:pt idx="1078">
                  <c:v>45817</c:v>
                </c:pt>
                <c:pt idx="1079">
                  <c:v>45818</c:v>
                </c:pt>
                <c:pt idx="1080">
                  <c:v>45819</c:v>
                </c:pt>
                <c:pt idx="1081">
                  <c:v>45820</c:v>
                </c:pt>
                <c:pt idx="1082">
                  <c:v>45821</c:v>
                </c:pt>
                <c:pt idx="1083">
                  <c:v>45824</c:v>
                </c:pt>
                <c:pt idx="1084">
                  <c:v>45825</c:v>
                </c:pt>
                <c:pt idx="1085">
                  <c:v>45826</c:v>
                </c:pt>
                <c:pt idx="1086">
                  <c:v>45828</c:v>
                </c:pt>
                <c:pt idx="1087">
                  <c:v>45831</c:v>
                </c:pt>
                <c:pt idx="1088">
                  <c:v>45832</c:v>
                </c:pt>
                <c:pt idx="1089">
                  <c:v>45833</c:v>
                </c:pt>
                <c:pt idx="1090">
                  <c:v>45834</c:v>
                </c:pt>
                <c:pt idx="1091">
                  <c:v>45835</c:v>
                </c:pt>
                <c:pt idx="1092">
                  <c:v>45838</c:v>
                </c:pt>
                <c:pt idx="1093">
                  <c:v>45839</c:v>
                </c:pt>
                <c:pt idx="1094">
                  <c:v>45840</c:v>
                </c:pt>
                <c:pt idx="1095">
                  <c:v>45841</c:v>
                </c:pt>
                <c:pt idx="1096">
                  <c:v>45845</c:v>
                </c:pt>
                <c:pt idx="1097">
                  <c:v>45846</c:v>
                </c:pt>
                <c:pt idx="1098">
                  <c:v>45847</c:v>
                </c:pt>
                <c:pt idx="1099">
                  <c:v>45848</c:v>
                </c:pt>
                <c:pt idx="1100">
                  <c:v>45849</c:v>
                </c:pt>
                <c:pt idx="1101">
                  <c:v>45852</c:v>
                </c:pt>
                <c:pt idx="1102">
                  <c:v>45853</c:v>
                </c:pt>
                <c:pt idx="1103">
                  <c:v>45854</c:v>
                </c:pt>
                <c:pt idx="1104">
                  <c:v>45855</c:v>
                </c:pt>
                <c:pt idx="1105">
                  <c:v>45856</c:v>
                </c:pt>
                <c:pt idx="1106">
                  <c:v>45859</c:v>
                </c:pt>
                <c:pt idx="1107">
                  <c:v>45860</c:v>
                </c:pt>
                <c:pt idx="1108">
                  <c:v>45861</c:v>
                </c:pt>
                <c:pt idx="1109">
                  <c:v>45862</c:v>
                </c:pt>
                <c:pt idx="1110">
                  <c:v>45863</c:v>
                </c:pt>
                <c:pt idx="1111">
                  <c:v>45866</c:v>
                </c:pt>
                <c:pt idx="1112">
                  <c:v>45867</c:v>
                </c:pt>
                <c:pt idx="1113">
                  <c:v>45868</c:v>
                </c:pt>
                <c:pt idx="1114">
                  <c:v>45869</c:v>
                </c:pt>
                <c:pt idx="1115">
                  <c:v>45870</c:v>
                </c:pt>
                <c:pt idx="1116">
                  <c:v>45873</c:v>
                </c:pt>
                <c:pt idx="1117">
                  <c:v>45874</c:v>
                </c:pt>
                <c:pt idx="1118">
                  <c:v>45875</c:v>
                </c:pt>
                <c:pt idx="1119">
                  <c:v>45876</c:v>
                </c:pt>
                <c:pt idx="1120">
                  <c:v>45877</c:v>
                </c:pt>
                <c:pt idx="1121">
                  <c:v>45880</c:v>
                </c:pt>
                <c:pt idx="1122">
                  <c:v>45881</c:v>
                </c:pt>
                <c:pt idx="1123">
                  <c:v>45882</c:v>
                </c:pt>
                <c:pt idx="1124">
                  <c:v>45883</c:v>
                </c:pt>
                <c:pt idx="1125">
                  <c:v>45884</c:v>
                </c:pt>
                <c:pt idx="1126">
                  <c:v>45887</c:v>
                </c:pt>
                <c:pt idx="1127">
                  <c:v>45888</c:v>
                </c:pt>
                <c:pt idx="1128">
                  <c:v>45889</c:v>
                </c:pt>
                <c:pt idx="1129">
                  <c:v>45890</c:v>
                </c:pt>
                <c:pt idx="1130">
                  <c:v>45891</c:v>
                </c:pt>
                <c:pt idx="1131">
                  <c:v>45894</c:v>
                </c:pt>
                <c:pt idx="1132">
                  <c:v>45895</c:v>
                </c:pt>
                <c:pt idx="1133">
                  <c:v>45896</c:v>
                </c:pt>
                <c:pt idx="1134">
                  <c:v>45897</c:v>
                </c:pt>
                <c:pt idx="1135">
                  <c:v>45898</c:v>
                </c:pt>
                <c:pt idx="1136">
                  <c:v>45902</c:v>
                </c:pt>
                <c:pt idx="1137">
                  <c:v>45903</c:v>
                </c:pt>
                <c:pt idx="1138">
                  <c:v>45904</c:v>
                </c:pt>
                <c:pt idx="1139">
                  <c:v>45905</c:v>
                </c:pt>
                <c:pt idx="1140">
                  <c:v>45908</c:v>
                </c:pt>
                <c:pt idx="1141">
                  <c:v>45909</c:v>
                </c:pt>
                <c:pt idx="1142">
                  <c:v>45910</c:v>
                </c:pt>
                <c:pt idx="1143">
                  <c:v>45911</c:v>
                </c:pt>
                <c:pt idx="1144">
                  <c:v>45912</c:v>
                </c:pt>
                <c:pt idx="1145">
                  <c:v>45915</c:v>
                </c:pt>
                <c:pt idx="1146">
                  <c:v>45916</c:v>
                </c:pt>
                <c:pt idx="1147">
                  <c:v>45917</c:v>
                </c:pt>
                <c:pt idx="1148">
                  <c:v>45918</c:v>
                </c:pt>
                <c:pt idx="1149">
                  <c:v>45919</c:v>
                </c:pt>
                <c:pt idx="1150">
                  <c:v>45922</c:v>
                </c:pt>
                <c:pt idx="1151">
                  <c:v>45923</c:v>
                </c:pt>
                <c:pt idx="1152">
                  <c:v>45924</c:v>
                </c:pt>
                <c:pt idx="1153">
                  <c:v>45925</c:v>
                </c:pt>
                <c:pt idx="1154">
                  <c:v>45926</c:v>
                </c:pt>
                <c:pt idx="1155">
                  <c:v>45929</c:v>
                </c:pt>
                <c:pt idx="1156">
                  <c:v>45930</c:v>
                </c:pt>
                <c:pt idx="1157">
                  <c:v>45931</c:v>
                </c:pt>
                <c:pt idx="1158">
                  <c:v>45932</c:v>
                </c:pt>
                <c:pt idx="1159">
                  <c:v>45933</c:v>
                </c:pt>
                <c:pt idx="1160">
                  <c:v>45936</c:v>
                </c:pt>
                <c:pt idx="1161">
                  <c:v>45937</c:v>
                </c:pt>
                <c:pt idx="1162">
                  <c:v>45938</c:v>
                </c:pt>
                <c:pt idx="1163">
                  <c:v>45939</c:v>
                </c:pt>
                <c:pt idx="1164">
                  <c:v>45940</c:v>
                </c:pt>
                <c:pt idx="1165">
                  <c:v>45943</c:v>
                </c:pt>
                <c:pt idx="1166">
                  <c:v>45944</c:v>
                </c:pt>
                <c:pt idx="1167">
                  <c:v>45945</c:v>
                </c:pt>
                <c:pt idx="1168">
                  <c:v>45946</c:v>
                </c:pt>
                <c:pt idx="1169">
                  <c:v>45947</c:v>
                </c:pt>
                <c:pt idx="1170">
                  <c:v>45950</c:v>
                </c:pt>
                <c:pt idx="1171">
                  <c:v>45951</c:v>
                </c:pt>
                <c:pt idx="1172">
                  <c:v>45952</c:v>
                </c:pt>
                <c:pt idx="1173">
                  <c:v>45953</c:v>
                </c:pt>
                <c:pt idx="1174">
                  <c:v>45954</c:v>
                </c:pt>
                <c:pt idx="1175">
                  <c:v>45957</c:v>
                </c:pt>
                <c:pt idx="1176">
                  <c:v>45958</c:v>
                </c:pt>
                <c:pt idx="1177">
                  <c:v>45959</c:v>
                </c:pt>
                <c:pt idx="1178">
                  <c:v>45960</c:v>
                </c:pt>
                <c:pt idx="1179">
                  <c:v>45961</c:v>
                </c:pt>
                <c:pt idx="1180">
                  <c:v>45964</c:v>
                </c:pt>
                <c:pt idx="1181">
                  <c:v>45965</c:v>
                </c:pt>
                <c:pt idx="1182">
                  <c:v>45966</c:v>
                </c:pt>
                <c:pt idx="1183">
                  <c:v>45967</c:v>
                </c:pt>
                <c:pt idx="1184">
                  <c:v>45968</c:v>
                </c:pt>
                <c:pt idx="1185">
                  <c:v>45971</c:v>
                </c:pt>
                <c:pt idx="1186">
                  <c:v>45972</c:v>
                </c:pt>
                <c:pt idx="1187">
                  <c:v>45973</c:v>
                </c:pt>
                <c:pt idx="1188">
                  <c:v>45974</c:v>
                </c:pt>
                <c:pt idx="1189">
                  <c:v>45975</c:v>
                </c:pt>
                <c:pt idx="1190">
                  <c:v>45978</c:v>
                </c:pt>
                <c:pt idx="1191">
                  <c:v>45979</c:v>
                </c:pt>
                <c:pt idx="1192">
                  <c:v>45980</c:v>
                </c:pt>
                <c:pt idx="1193">
                  <c:v>45981</c:v>
                </c:pt>
                <c:pt idx="1194">
                  <c:v>45982</c:v>
                </c:pt>
                <c:pt idx="1195">
                  <c:v>45985</c:v>
                </c:pt>
                <c:pt idx="1196">
                  <c:v>45986</c:v>
                </c:pt>
                <c:pt idx="1197">
                  <c:v>45987</c:v>
                </c:pt>
                <c:pt idx="1198">
                  <c:v>45989</c:v>
                </c:pt>
                <c:pt idx="1199">
                  <c:v>45992</c:v>
                </c:pt>
                <c:pt idx="1200">
                  <c:v>45993</c:v>
                </c:pt>
                <c:pt idx="1201">
                  <c:v>45994</c:v>
                </c:pt>
                <c:pt idx="1202">
                  <c:v>45995</c:v>
                </c:pt>
                <c:pt idx="1203">
                  <c:v>45996</c:v>
                </c:pt>
                <c:pt idx="1204">
                  <c:v>45999</c:v>
                </c:pt>
                <c:pt idx="1205">
                  <c:v>46000</c:v>
                </c:pt>
                <c:pt idx="1206">
                  <c:v>46001</c:v>
                </c:pt>
                <c:pt idx="1207">
                  <c:v>46002</c:v>
                </c:pt>
                <c:pt idx="1208">
                  <c:v>46003</c:v>
                </c:pt>
                <c:pt idx="1209">
                  <c:v>46006</c:v>
                </c:pt>
                <c:pt idx="1210">
                  <c:v>46007</c:v>
                </c:pt>
                <c:pt idx="1211">
                  <c:v>46008</c:v>
                </c:pt>
                <c:pt idx="1212">
                  <c:v>46009</c:v>
                </c:pt>
                <c:pt idx="1213">
                  <c:v>46010</c:v>
                </c:pt>
                <c:pt idx="1214">
                  <c:v>46013</c:v>
                </c:pt>
                <c:pt idx="1215">
                  <c:v>46014</c:v>
                </c:pt>
                <c:pt idx="1216">
                  <c:v>46015</c:v>
                </c:pt>
                <c:pt idx="1217">
                  <c:v>46017</c:v>
                </c:pt>
                <c:pt idx="1218">
                  <c:v>46020</c:v>
                </c:pt>
                <c:pt idx="1219">
                  <c:v>46021</c:v>
                </c:pt>
                <c:pt idx="1220">
                  <c:v>46022</c:v>
                </c:pt>
                <c:pt idx="1221">
                  <c:v>46024</c:v>
                </c:pt>
                <c:pt idx="1222">
                  <c:v>46027</c:v>
                </c:pt>
                <c:pt idx="1223">
                  <c:v>46028</c:v>
                </c:pt>
                <c:pt idx="1224">
                  <c:v>46029</c:v>
                </c:pt>
                <c:pt idx="1225">
                  <c:v>46030</c:v>
                </c:pt>
                <c:pt idx="1226">
                  <c:v>46031</c:v>
                </c:pt>
                <c:pt idx="1227">
                  <c:v>46034</c:v>
                </c:pt>
                <c:pt idx="1228">
                  <c:v>46035</c:v>
                </c:pt>
                <c:pt idx="1229">
                  <c:v>46036</c:v>
                </c:pt>
                <c:pt idx="1230">
                  <c:v>46037</c:v>
                </c:pt>
                <c:pt idx="1231">
                  <c:v>46038</c:v>
                </c:pt>
                <c:pt idx="1232">
                  <c:v>46042</c:v>
                </c:pt>
                <c:pt idx="1233">
                  <c:v>46043</c:v>
                </c:pt>
                <c:pt idx="1234">
                  <c:v>46044</c:v>
                </c:pt>
                <c:pt idx="1235">
                  <c:v>46045</c:v>
                </c:pt>
                <c:pt idx="1236">
                  <c:v>46048</c:v>
                </c:pt>
                <c:pt idx="1237">
                  <c:v>46049</c:v>
                </c:pt>
                <c:pt idx="1238">
                  <c:v>46050</c:v>
                </c:pt>
                <c:pt idx="1239">
                  <c:v>46051</c:v>
                </c:pt>
                <c:pt idx="1240">
                  <c:v>46052</c:v>
                </c:pt>
                <c:pt idx="1241">
                  <c:v>46055</c:v>
                </c:pt>
                <c:pt idx="1242">
                  <c:v>46056</c:v>
                </c:pt>
                <c:pt idx="1243">
                  <c:v>46057</c:v>
                </c:pt>
                <c:pt idx="1244">
                  <c:v>46058</c:v>
                </c:pt>
                <c:pt idx="1245">
                  <c:v>46059</c:v>
                </c:pt>
                <c:pt idx="1246">
                  <c:v>46062</c:v>
                </c:pt>
                <c:pt idx="1247">
                  <c:v>46063</c:v>
                </c:pt>
                <c:pt idx="1248">
                  <c:v>46064</c:v>
                </c:pt>
                <c:pt idx="1249">
                  <c:v>46065</c:v>
                </c:pt>
                <c:pt idx="1250">
                  <c:v>46066</c:v>
                </c:pt>
                <c:pt idx="1251">
                  <c:v>46070</c:v>
                </c:pt>
                <c:pt idx="1252">
                  <c:v>46071</c:v>
                </c:pt>
                <c:pt idx="1253">
                  <c:v>46072</c:v>
                </c:pt>
                <c:pt idx="1254">
                  <c:v>46073</c:v>
                </c:pt>
              </c:numCache>
            </c:numRef>
          </c:cat>
          <c:val>
            <c:numRef>
              <c:f>Calcs!$G$2:$G$1257</c:f>
              <c:numCache>
                <c:formatCode>General</c:formatCode>
                <c:ptCount val="1256"/>
                <c:pt idx="19">
                  <c:v>0.3383540270126838</c:v>
                </c:pt>
                <c:pt idx="20">
                  <c:v>0.32965203321175746</c:v>
                </c:pt>
                <c:pt idx="21">
                  <c:v>0.3328906750744669</c:v>
                </c:pt>
                <c:pt idx="22">
                  <c:v>0.30905841026667785</c:v>
                </c:pt>
                <c:pt idx="23">
                  <c:v>0.31338256689803806</c:v>
                </c:pt>
                <c:pt idx="24">
                  <c:v>0.29322789220927981</c:v>
                </c:pt>
                <c:pt idx="25">
                  <c:v>0.28832187839765133</c:v>
                </c:pt>
                <c:pt idx="26">
                  <c:v>0.27264741301005208</c:v>
                </c:pt>
                <c:pt idx="27">
                  <c:v>0.26900855536941182</c:v>
                </c:pt>
                <c:pt idx="28">
                  <c:v>0.27237050923663259</c:v>
                </c:pt>
                <c:pt idx="29">
                  <c:v>0.24573061682133213</c:v>
                </c:pt>
                <c:pt idx="30">
                  <c:v>0.20941529950602447</c:v>
                </c:pt>
                <c:pt idx="31">
                  <c:v>0.20965369880137136</c:v>
                </c:pt>
                <c:pt idx="32">
                  <c:v>0.19734020501937938</c:v>
                </c:pt>
                <c:pt idx="33">
                  <c:v>0.19370697793640704</c:v>
                </c:pt>
                <c:pt idx="34">
                  <c:v>0.19423673986404788</c:v>
                </c:pt>
                <c:pt idx="35">
                  <c:v>0.20151014419534516</c:v>
                </c:pt>
                <c:pt idx="36">
                  <c:v>0.20643100335668213</c:v>
                </c:pt>
                <c:pt idx="37">
                  <c:v>0.16413070868847202</c:v>
                </c:pt>
                <c:pt idx="38">
                  <c:v>0.1712917916595329</c:v>
                </c:pt>
                <c:pt idx="39">
                  <c:v>0.16800935023959807</c:v>
                </c:pt>
                <c:pt idx="40">
                  <c:v>0.16698717955782838</c:v>
                </c:pt>
                <c:pt idx="41">
                  <c:v>0.15996118593372616</c:v>
                </c:pt>
                <c:pt idx="42">
                  <c:v>0.1616260304169353</c:v>
                </c:pt>
                <c:pt idx="43">
                  <c:v>0.15696806101595659</c:v>
                </c:pt>
                <c:pt idx="44">
                  <c:v>0.15906091806491779</c:v>
                </c:pt>
                <c:pt idx="45">
                  <c:v>0.15795504474839731</c:v>
                </c:pt>
                <c:pt idx="46">
                  <c:v>0.15203600734293649</c:v>
                </c:pt>
                <c:pt idx="47">
                  <c:v>0.14661159737499918</c:v>
                </c:pt>
                <c:pt idx="48">
                  <c:v>0.13246814064639173</c:v>
                </c:pt>
                <c:pt idx="49">
                  <c:v>0.14834752982560742</c:v>
                </c:pt>
                <c:pt idx="50">
                  <c:v>0.14848499365523349</c:v>
                </c:pt>
                <c:pt idx="51">
                  <c:v>0.14603070925877187</c:v>
                </c:pt>
                <c:pt idx="52">
                  <c:v>0.14743023023948801</c:v>
                </c:pt>
                <c:pt idx="53">
                  <c:v>0.17187911830530234</c:v>
                </c:pt>
                <c:pt idx="54">
                  <c:v>0.16461137523742339</c:v>
                </c:pt>
                <c:pt idx="55">
                  <c:v>0.18198005079533369</c:v>
                </c:pt>
                <c:pt idx="56">
                  <c:v>0.17392034160774317</c:v>
                </c:pt>
                <c:pt idx="57">
                  <c:v>0.19554725342780918</c:v>
                </c:pt>
                <c:pt idx="58">
                  <c:v>0.19440886027765894</c:v>
                </c:pt>
                <c:pt idx="59">
                  <c:v>0.19422800200982315</c:v>
                </c:pt>
                <c:pt idx="60">
                  <c:v>0.19058934928269586</c:v>
                </c:pt>
                <c:pt idx="61">
                  <c:v>0.20186094528857321</c:v>
                </c:pt>
                <c:pt idx="62">
                  <c:v>0.19598522223914724</c:v>
                </c:pt>
                <c:pt idx="63">
                  <c:v>0.20498353698863031</c:v>
                </c:pt>
                <c:pt idx="64">
                  <c:v>0.2048560387908662</c:v>
                </c:pt>
                <c:pt idx="65">
                  <c:v>0.20524087168038038</c:v>
                </c:pt>
                <c:pt idx="66">
                  <c:v>0.2048819804682766</c:v>
                </c:pt>
                <c:pt idx="67">
                  <c:v>0.20429519916036074</c:v>
                </c:pt>
                <c:pt idx="68">
                  <c:v>0.20379433922255172</c:v>
                </c:pt>
                <c:pt idx="69">
                  <c:v>0.19299871832712764</c:v>
                </c:pt>
                <c:pt idx="70">
                  <c:v>0.19649106168800162</c:v>
                </c:pt>
                <c:pt idx="71">
                  <c:v>0.20386404934803687</c:v>
                </c:pt>
                <c:pt idx="72">
                  <c:v>0.20219239582359341</c:v>
                </c:pt>
                <c:pt idx="73">
                  <c:v>0.17801628612592216</c:v>
                </c:pt>
                <c:pt idx="74">
                  <c:v>0.17773454309886966</c:v>
                </c:pt>
                <c:pt idx="75">
                  <c:v>0.14674654909761037</c:v>
                </c:pt>
                <c:pt idx="76">
                  <c:v>0.14596601361248693</c:v>
                </c:pt>
                <c:pt idx="77">
                  <c:v>0.13065383134983088</c:v>
                </c:pt>
                <c:pt idx="78">
                  <c:v>0.13107880035838063</c:v>
                </c:pt>
                <c:pt idx="79">
                  <c:v>0.12854844152367256</c:v>
                </c:pt>
                <c:pt idx="80">
                  <c:v>0.13295960536503437</c:v>
                </c:pt>
                <c:pt idx="81">
                  <c:v>0.12461050118473133</c:v>
                </c:pt>
                <c:pt idx="82">
                  <c:v>0.12165301834048144</c:v>
                </c:pt>
                <c:pt idx="83">
                  <c:v>0.1126189324780492</c:v>
                </c:pt>
                <c:pt idx="84">
                  <c:v>0.11275392511197148</c:v>
                </c:pt>
                <c:pt idx="85">
                  <c:v>0.11356673801807123</c:v>
                </c:pt>
                <c:pt idx="86">
                  <c:v>0.11212615150396164</c:v>
                </c:pt>
                <c:pt idx="87">
                  <c:v>0.11730796050952337</c:v>
                </c:pt>
                <c:pt idx="88">
                  <c:v>0.11498217575695639</c:v>
                </c:pt>
                <c:pt idx="89">
                  <c:v>0.1161887920401814</c:v>
                </c:pt>
                <c:pt idx="90">
                  <c:v>0.10538777974423828</c:v>
                </c:pt>
                <c:pt idx="91">
                  <c:v>9.7681753692108561E-2</c:v>
                </c:pt>
                <c:pt idx="92">
                  <c:v>9.7731647018362344E-2</c:v>
                </c:pt>
                <c:pt idx="93">
                  <c:v>9.7251582656301683E-2</c:v>
                </c:pt>
                <c:pt idx="94">
                  <c:v>0.10245138267131174</c:v>
                </c:pt>
                <c:pt idx="95">
                  <c:v>9.9567672720088499E-2</c:v>
                </c:pt>
                <c:pt idx="96">
                  <c:v>9.9612112469965375E-2</c:v>
                </c:pt>
                <c:pt idx="97">
                  <c:v>9.7030869124550695E-2</c:v>
                </c:pt>
                <c:pt idx="98">
                  <c:v>9.1004333898566811E-2</c:v>
                </c:pt>
                <c:pt idx="99">
                  <c:v>9.4959449848304359E-2</c:v>
                </c:pt>
                <c:pt idx="100">
                  <c:v>9.4911805650746514E-2</c:v>
                </c:pt>
                <c:pt idx="101">
                  <c:v>9.5383475976691334E-2</c:v>
                </c:pt>
                <c:pt idx="102">
                  <c:v>0.10107896318859337</c:v>
                </c:pt>
                <c:pt idx="103">
                  <c:v>9.9706621444238683E-2</c:v>
                </c:pt>
                <c:pt idx="104">
                  <c:v>0.10084245433845092</c:v>
                </c:pt>
                <c:pt idx="105">
                  <c:v>0.10543037153825854</c:v>
                </c:pt>
                <c:pt idx="106">
                  <c:v>0.10470599001721136</c:v>
                </c:pt>
                <c:pt idx="107">
                  <c:v>0.10908907789163719</c:v>
                </c:pt>
                <c:pt idx="108">
                  <c:v>0.10914888737506429</c:v>
                </c:pt>
                <c:pt idx="109">
                  <c:v>0.10853095599023126</c:v>
                </c:pt>
                <c:pt idx="110">
                  <c:v>0.11121347723712982</c:v>
                </c:pt>
                <c:pt idx="111">
                  <c:v>0.10470230421024619</c:v>
                </c:pt>
                <c:pt idx="112">
                  <c:v>0.1056462673706914</c:v>
                </c:pt>
                <c:pt idx="113">
                  <c:v>0.10557426572625728</c:v>
                </c:pt>
                <c:pt idx="114">
                  <c:v>0.10391740953603767</c:v>
                </c:pt>
                <c:pt idx="115">
                  <c:v>0.10435272759170287</c:v>
                </c:pt>
                <c:pt idx="116">
                  <c:v>0.1038436268412939</c:v>
                </c:pt>
                <c:pt idx="117">
                  <c:v>0.10599384271584525</c:v>
                </c:pt>
                <c:pt idx="118">
                  <c:v>0.10621398441208599</c:v>
                </c:pt>
                <c:pt idx="119">
                  <c:v>0.10294254619828913</c:v>
                </c:pt>
                <c:pt idx="120">
                  <c:v>9.7459243658183384E-2</c:v>
                </c:pt>
                <c:pt idx="121">
                  <c:v>9.0571328046259184E-2</c:v>
                </c:pt>
                <c:pt idx="122">
                  <c:v>9.0811311955646803E-2</c:v>
                </c:pt>
                <c:pt idx="123">
                  <c:v>9.4516341840467949E-2</c:v>
                </c:pt>
                <c:pt idx="124">
                  <c:v>9.3093159388532479E-2</c:v>
                </c:pt>
                <c:pt idx="125">
                  <c:v>9.0995959127686404E-2</c:v>
                </c:pt>
                <c:pt idx="126">
                  <c:v>0.10547040300088752</c:v>
                </c:pt>
                <c:pt idx="127">
                  <c:v>9.6228301736399874E-2</c:v>
                </c:pt>
                <c:pt idx="128">
                  <c:v>9.5782375002348083E-2</c:v>
                </c:pt>
                <c:pt idx="129">
                  <c:v>9.9440373876032953E-2</c:v>
                </c:pt>
                <c:pt idx="130">
                  <c:v>0.10152579142319199</c:v>
                </c:pt>
                <c:pt idx="131">
                  <c:v>0.10691896038872716</c:v>
                </c:pt>
                <c:pt idx="132">
                  <c:v>0.10634710264605636</c:v>
                </c:pt>
                <c:pt idx="133">
                  <c:v>0.10634081515916285</c:v>
                </c:pt>
                <c:pt idx="134">
                  <c:v>0.10521949405136033</c:v>
                </c:pt>
                <c:pt idx="135">
                  <c:v>0.10304206238783904</c:v>
                </c:pt>
                <c:pt idx="136">
                  <c:v>0.10305225595084641</c:v>
                </c:pt>
                <c:pt idx="137">
                  <c:v>0.10174225791587319</c:v>
                </c:pt>
                <c:pt idx="138">
                  <c:v>0.10273059876837741</c:v>
                </c:pt>
                <c:pt idx="139">
                  <c:v>0.10768738506392452</c:v>
                </c:pt>
                <c:pt idx="140">
                  <c:v>0.10754522978948793</c:v>
                </c:pt>
                <c:pt idx="141">
                  <c:v>0.10841184174137097</c:v>
                </c:pt>
                <c:pt idx="142">
                  <c:v>0.10444652430992539</c:v>
                </c:pt>
                <c:pt idx="143">
                  <c:v>9.5692701469318367E-2</c:v>
                </c:pt>
                <c:pt idx="144">
                  <c:v>0.10720778126697818</c:v>
                </c:pt>
                <c:pt idx="145">
                  <c:v>0.12968615507582901</c:v>
                </c:pt>
                <c:pt idx="146">
                  <c:v>0.11686521791446343</c:v>
                </c:pt>
                <c:pt idx="147">
                  <c:v>0.12173719241352417</c:v>
                </c:pt>
                <c:pt idx="148">
                  <c:v>0.12657231166795391</c:v>
                </c:pt>
                <c:pt idx="149">
                  <c:v>0.12451254505731969</c:v>
                </c:pt>
                <c:pt idx="150">
                  <c:v>0.12230529802651376</c:v>
                </c:pt>
                <c:pt idx="151">
                  <c:v>0.14867362300075182</c:v>
                </c:pt>
                <c:pt idx="152">
                  <c:v>0.14856306734468594</c:v>
                </c:pt>
                <c:pt idx="153">
                  <c:v>0.14766719759570027</c:v>
                </c:pt>
                <c:pt idx="154">
                  <c:v>0.15105461860176547</c:v>
                </c:pt>
                <c:pt idx="155">
                  <c:v>0.16259750716576257</c:v>
                </c:pt>
                <c:pt idx="156">
                  <c:v>0.17313963569403323</c:v>
                </c:pt>
                <c:pt idx="157">
                  <c:v>0.17651483262853457</c:v>
                </c:pt>
                <c:pt idx="158">
                  <c:v>0.18150650361334361</c:v>
                </c:pt>
                <c:pt idx="159">
                  <c:v>0.18070675940149095</c:v>
                </c:pt>
                <c:pt idx="160">
                  <c:v>0.18171720225348134</c:v>
                </c:pt>
                <c:pt idx="161">
                  <c:v>0.18175356151708399</c:v>
                </c:pt>
                <c:pt idx="162">
                  <c:v>0.18217621280955024</c:v>
                </c:pt>
                <c:pt idx="163">
                  <c:v>0.19644662409391786</c:v>
                </c:pt>
                <c:pt idx="164">
                  <c:v>0.19431509204269173</c:v>
                </c:pt>
                <c:pt idx="165">
                  <c:v>0.18069440011825261</c:v>
                </c:pt>
                <c:pt idx="166">
                  <c:v>0.18219374973461896</c:v>
                </c:pt>
                <c:pt idx="167">
                  <c:v>0.17988266847402906</c:v>
                </c:pt>
                <c:pt idx="168">
                  <c:v>0.17827516392566178</c:v>
                </c:pt>
                <c:pt idx="169">
                  <c:v>0.18112304537017315</c:v>
                </c:pt>
                <c:pt idx="170">
                  <c:v>0.18179837196825904</c:v>
                </c:pt>
                <c:pt idx="171">
                  <c:v>0.14494178513703129</c:v>
                </c:pt>
                <c:pt idx="172">
                  <c:v>0.14406688267169915</c:v>
                </c:pt>
                <c:pt idx="173">
                  <c:v>0.14474498735419869</c:v>
                </c:pt>
                <c:pt idx="174">
                  <c:v>0.1445088975001195</c:v>
                </c:pt>
                <c:pt idx="175">
                  <c:v>0.11189087629388866</c:v>
                </c:pt>
                <c:pt idx="176">
                  <c:v>0.10700021432414883</c:v>
                </c:pt>
                <c:pt idx="177">
                  <c:v>0.10913336363276933</c:v>
                </c:pt>
                <c:pt idx="178">
                  <c:v>0.11193977214934742</c:v>
                </c:pt>
                <c:pt idx="179">
                  <c:v>0.10702179604395691</c:v>
                </c:pt>
                <c:pt idx="180">
                  <c:v>9.9194560513010205E-2</c:v>
                </c:pt>
                <c:pt idx="181">
                  <c:v>0.10380119611352935</c:v>
                </c:pt>
                <c:pt idx="182">
                  <c:v>0.12460211940264522</c:v>
                </c:pt>
                <c:pt idx="183">
                  <c:v>0.11232500704079891</c:v>
                </c:pt>
                <c:pt idx="184">
                  <c:v>0.11484513183906234</c:v>
                </c:pt>
                <c:pt idx="185">
                  <c:v>0.11272843395978266</c:v>
                </c:pt>
                <c:pt idx="186">
                  <c:v>0.11249367856210628</c:v>
                </c:pt>
                <c:pt idx="187">
                  <c:v>0.11177744672356794</c:v>
                </c:pt>
                <c:pt idx="188">
                  <c:v>0.11435632011503175</c:v>
                </c:pt>
                <c:pt idx="189">
                  <c:v>0.10605275550879271</c:v>
                </c:pt>
                <c:pt idx="190">
                  <c:v>0.11649850592976747</c:v>
                </c:pt>
                <c:pt idx="191">
                  <c:v>0.11935156833752225</c:v>
                </c:pt>
                <c:pt idx="192">
                  <c:v>0.11938693168724394</c:v>
                </c:pt>
                <c:pt idx="193">
                  <c:v>0.13685992249867499</c:v>
                </c:pt>
                <c:pt idx="194">
                  <c:v>0.15509058918124913</c:v>
                </c:pt>
                <c:pt idx="195">
                  <c:v>0.16551127139558952</c:v>
                </c:pt>
                <c:pt idx="196">
                  <c:v>0.17661293937643871</c:v>
                </c:pt>
                <c:pt idx="197">
                  <c:v>0.17424563394274598</c:v>
                </c:pt>
                <c:pt idx="198">
                  <c:v>0.17691457654562917</c:v>
                </c:pt>
                <c:pt idx="199">
                  <c:v>0.18015406222311106</c:v>
                </c:pt>
                <c:pt idx="200">
                  <c:v>0.21229448527335906</c:v>
                </c:pt>
                <c:pt idx="201">
                  <c:v>0.21119584623756776</c:v>
                </c:pt>
                <c:pt idx="202">
                  <c:v>0.21121258826563369</c:v>
                </c:pt>
                <c:pt idx="203">
                  <c:v>0.21423998329803387</c:v>
                </c:pt>
                <c:pt idx="204">
                  <c:v>0.21786610583157678</c:v>
                </c:pt>
                <c:pt idx="205">
                  <c:v>0.22081346193732676</c:v>
                </c:pt>
                <c:pt idx="206">
                  <c:v>0.23477340930437721</c:v>
                </c:pt>
                <c:pt idx="207">
                  <c:v>0.25192846072967312</c:v>
                </c:pt>
                <c:pt idx="208">
                  <c:v>0.24840853850078279</c:v>
                </c:pt>
                <c:pt idx="209">
                  <c:v>0.24863607835168869</c:v>
                </c:pt>
                <c:pt idx="210">
                  <c:v>0.26168465912566541</c:v>
                </c:pt>
                <c:pt idx="211">
                  <c:v>0.26550959588641093</c:v>
                </c:pt>
                <c:pt idx="212">
                  <c:v>0.26671177913280836</c:v>
                </c:pt>
                <c:pt idx="213">
                  <c:v>0.26314902164378112</c:v>
                </c:pt>
                <c:pt idx="214">
                  <c:v>0.25297608890120149</c:v>
                </c:pt>
                <c:pt idx="215">
                  <c:v>0.24669314789557206</c:v>
                </c:pt>
                <c:pt idx="216">
                  <c:v>0.23791248741937193</c:v>
                </c:pt>
                <c:pt idx="217">
                  <c:v>0.23863916472378871</c:v>
                </c:pt>
                <c:pt idx="218">
                  <c:v>0.22996548809278755</c:v>
                </c:pt>
                <c:pt idx="219">
                  <c:v>0.2352543623397336</c:v>
                </c:pt>
                <c:pt idx="220">
                  <c:v>0.2359386238428747</c:v>
                </c:pt>
                <c:pt idx="221">
                  <c:v>0.23487696176427209</c:v>
                </c:pt>
                <c:pt idx="222">
                  <c:v>0.23245626183279344</c:v>
                </c:pt>
                <c:pt idx="223">
                  <c:v>0.22792014761312626</c:v>
                </c:pt>
                <c:pt idx="224">
                  <c:v>0.23090312064953961</c:v>
                </c:pt>
                <c:pt idx="225">
                  <c:v>0.22856942579009817</c:v>
                </c:pt>
                <c:pt idx="226">
                  <c:v>0.22830055971605828</c:v>
                </c:pt>
                <c:pt idx="227">
                  <c:v>0.21265606394870734</c:v>
                </c:pt>
                <c:pt idx="228">
                  <c:v>0.22896341046195612</c:v>
                </c:pt>
                <c:pt idx="229">
                  <c:v>0.22897407553599911</c:v>
                </c:pt>
                <c:pt idx="230">
                  <c:v>0.21331699562543036</c:v>
                </c:pt>
                <c:pt idx="231">
                  <c:v>0.22113377750910104</c:v>
                </c:pt>
                <c:pt idx="232">
                  <c:v>0.21904647557121404</c:v>
                </c:pt>
                <c:pt idx="233">
                  <c:v>0.21076724318538403</c:v>
                </c:pt>
                <c:pt idx="234">
                  <c:v>0.21163897727136605</c:v>
                </c:pt>
                <c:pt idx="235">
                  <c:v>0.20996436760393844</c:v>
                </c:pt>
                <c:pt idx="236">
                  <c:v>0.25211731696575679</c:v>
                </c:pt>
                <c:pt idx="237">
                  <c:v>0.28644556624978101</c:v>
                </c:pt>
                <c:pt idx="238">
                  <c:v>0.28478086449541207</c:v>
                </c:pt>
                <c:pt idx="239">
                  <c:v>0.28635141350462368</c:v>
                </c:pt>
                <c:pt idx="240">
                  <c:v>0.30050974953482945</c:v>
                </c:pt>
                <c:pt idx="241">
                  <c:v>0.30610756125715038</c:v>
                </c:pt>
                <c:pt idx="242">
                  <c:v>0.30535942246804848</c:v>
                </c:pt>
                <c:pt idx="243">
                  <c:v>0.30940589443120198</c:v>
                </c:pt>
                <c:pt idx="244">
                  <c:v>0.31480792701353277</c:v>
                </c:pt>
                <c:pt idx="245">
                  <c:v>0.32181423510924401</c:v>
                </c:pt>
                <c:pt idx="246">
                  <c:v>0.3285219875810258</c:v>
                </c:pt>
                <c:pt idx="247">
                  <c:v>0.32693530930087805</c:v>
                </c:pt>
                <c:pt idx="248">
                  <c:v>0.33293999912829469</c:v>
                </c:pt>
                <c:pt idx="249">
                  <c:v>0.33117692615407279</c:v>
                </c:pt>
                <c:pt idx="250">
                  <c:v>0.34414934752775722</c:v>
                </c:pt>
                <c:pt idx="251">
                  <c:v>0.33269779337266769</c:v>
                </c:pt>
                <c:pt idx="252">
                  <c:v>0.33334370336671088</c:v>
                </c:pt>
                <c:pt idx="253">
                  <c:v>0.33550086023355413</c:v>
                </c:pt>
                <c:pt idx="254">
                  <c:v>0.35868510262747882</c:v>
                </c:pt>
                <c:pt idx="255">
                  <c:v>0.36097725112333662</c:v>
                </c:pt>
                <c:pt idx="256">
                  <c:v>0.34283264691016335</c:v>
                </c:pt>
                <c:pt idx="257">
                  <c:v>0.3240045028208669</c:v>
                </c:pt>
                <c:pt idx="258">
                  <c:v>0.32983240250019608</c:v>
                </c:pt>
                <c:pt idx="259">
                  <c:v>0.32997719290152056</c:v>
                </c:pt>
                <c:pt idx="260">
                  <c:v>0.30302262858679341</c:v>
                </c:pt>
                <c:pt idx="261">
                  <c:v>0.3213569837124039</c:v>
                </c:pt>
                <c:pt idx="262">
                  <c:v>0.32110741616078925</c:v>
                </c:pt>
                <c:pt idx="263">
                  <c:v>0.3480807821607802</c:v>
                </c:pt>
                <c:pt idx="264">
                  <c:v>0.33670416176002066</c:v>
                </c:pt>
                <c:pt idx="265">
                  <c:v>0.33544279451390274</c:v>
                </c:pt>
                <c:pt idx="266">
                  <c:v>0.32487705001913503</c:v>
                </c:pt>
                <c:pt idx="267">
                  <c:v>0.34825133270437159</c:v>
                </c:pt>
                <c:pt idx="268">
                  <c:v>0.36342258566589064</c:v>
                </c:pt>
                <c:pt idx="269">
                  <c:v>0.36685148253654909</c:v>
                </c:pt>
                <c:pt idx="270">
                  <c:v>0.35860615541124669</c:v>
                </c:pt>
                <c:pt idx="271">
                  <c:v>0.35613601017137025</c:v>
                </c:pt>
                <c:pt idx="272">
                  <c:v>0.35898250196091686</c:v>
                </c:pt>
                <c:pt idx="273">
                  <c:v>0.34919583947473576</c:v>
                </c:pt>
                <c:pt idx="274">
                  <c:v>0.33836443795635285</c:v>
                </c:pt>
                <c:pt idx="275">
                  <c:v>0.33528294287432042</c:v>
                </c:pt>
                <c:pt idx="276">
                  <c:v>0.33861434865921869</c:v>
                </c:pt>
                <c:pt idx="277">
                  <c:v>0.33525054104733498</c:v>
                </c:pt>
                <c:pt idx="278">
                  <c:v>0.33615994419723721</c:v>
                </c:pt>
                <c:pt idx="279">
                  <c:v>0.33493577068390101</c:v>
                </c:pt>
                <c:pt idx="280">
                  <c:v>0.32909966265475221</c:v>
                </c:pt>
                <c:pt idx="281">
                  <c:v>0.29668658249625468</c:v>
                </c:pt>
                <c:pt idx="282">
                  <c:v>0.31167734802283831</c:v>
                </c:pt>
                <c:pt idx="283">
                  <c:v>0.3045529327567128</c:v>
                </c:pt>
                <c:pt idx="284">
                  <c:v>0.30009708755401948</c:v>
                </c:pt>
                <c:pt idx="285">
                  <c:v>0.29374614921402958</c:v>
                </c:pt>
                <c:pt idx="286">
                  <c:v>0.29876265354844039</c:v>
                </c:pt>
                <c:pt idx="287">
                  <c:v>0.28111573781692384</c:v>
                </c:pt>
                <c:pt idx="288">
                  <c:v>0.25864388900131252</c:v>
                </c:pt>
                <c:pt idx="289">
                  <c:v>0.26834489135475387</c:v>
                </c:pt>
                <c:pt idx="290">
                  <c:v>0.25654273999974259</c:v>
                </c:pt>
                <c:pt idx="291">
                  <c:v>0.27013832485664208</c:v>
                </c:pt>
                <c:pt idx="292">
                  <c:v>0.26367164401753473</c:v>
                </c:pt>
                <c:pt idx="293">
                  <c:v>0.26847588241049852</c:v>
                </c:pt>
                <c:pt idx="294">
                  <c:v>0.26445292069918636</c:v>
                </c:pt>
                <c:pt idx="295">
                  <c:v>0.27157681328162181</c:v>
                </c:pt>
                <c:pt idx="296">
                  <c:v>0.28583613995602286</c:v>
                </c:pt>
                <c:pt idx="297">
                  <c:v>0.27245239263441984</c:v>
                </c:pt>
                <c:pt idx="298">
                  <c:v>0.31222513898958792</c:v>
                </c:pt>
                <c:pt idx="299">
                  <c:v>0.34191117401035681</c:v>
                </c:pt>
                <c:pt idx="300">
                  <c:v>0.35186010850962163</c:v>
                </c:pt>
                <c:pt idx="301">
                  <c:v>0.33878038641784636</c:v>
                </c:pt>
                <c:pt idx="302">
                  <c:v>0.36314278680654649</c:v>
                </c:pt>
                <c:pt idx="303">
                  <c:v>0.39426819632119459</c:v>
                </c:pt>
                <c:pt idx="304">
                  <c:v>0.39364258186560774</c:v>
                </c:pt>
                <c:pt idx="305">
                  <c:v>0.40980763824564437</c:v>
                </c:pt>
                <c:pt idx="306">
                  <c:v>0.4110370794942268</c:v>
                </c:pt>
                <c:pt idx="307">
                  <c:v>0.4194723074610292</c:v>
                </c:pt>
                <c:pt idx="308">
                  <c:v>0.40728332095272446</c:v>
                </c:pt>
                <c:pt idx="309">
                  <c:v>0.43360978685802498</c:v>
                </c:pt>
                <c:pt idx="310">
                  <c:v>0.4335232405444478</c:v>
                </c:pt>
                <c:pt idx="311">
                  <c:v>0.43676841267886546</c:v>
                </c:pt>
                <c:pt idx="312">
                  <c:v>0.46242300325563274</c:v>
                </c:pt>
                <c:pt idx="313">
                  <c:v>0.45981633435141483</c:v>
                </c:pt>
                <c:pt idx="314">
                  <c:v>0.45412755095950197</c:v>
                </c:pt>
                <c:pt idx="315">
                  <c:v>0.4563552015915614</c:v>
                </c:pt>
                <c:pt idx="316">
                  <c:v>0.4444499235936431</c:v>
                </c:pt>
                <c:pt idx="317">
                  <c:v>0.44922232154671687</c:v>
                </c:pt>
                <c:pt idx="318">
                  <c:v>0.44093592229631884</c:v>
                </c:pt>
                <c:pt idx="319">
                  <c:v>0.43166984990125268</c:v>
                </c:pt>
                <c:pt idx="320">
                  <c:v>0.42699694589513848</c:v>
                </c:pt>
                <c:pt idx="321">
                  <c:v>0.42743643734805958</c:v>
                </c:pt>
                <c:pt idx="322">
                  <c:v>0.42091317599562389</c:v>
                </c:pt>
                <c:pt idx="323">
                  <c:v>0.3916873491606041</c:v>
                </c:pt>
                <c:pt idx="324">
                  <c:v>0.38965976374724487</c:v>
                </c:pt>
                <c:pt idx="325">
                  <c:v>0.36201829529770801</c:v>
                </c:pt>
                <c:pt idx="326">
                  <c:v>0.361583090531365</c:v>
                </c:pt>
                <c:pt idx="327">
                  <c:v>0.35844179025249062</c:v>
                </c:pt>
                <c:pt idx="328">
                  <c:v>0.38146656365495885</c:v>
                </c:pt>
                <c:pt idx="329">
                  <c:v>0.38867996560347562</c:v>
                </c:pt>
                <c:pt idx="330">
                  <c:v>0.38825763063493957</c:v>
                </c:pt>
                <c:pt idx="331">
                  <c:v>0.38733290415824451</c:v>
                </c:pt>
                <c:pt idx="332">
                  <c:v>0.37477565794756462</c:v>
                </c:pt>
                <c:pt idx="333">
                  <c:v>0.37860126573750308</c:v>
                </c:pt>
                <c:pt idx="334">
                  <c:v>0.38933328252884059</c:v>
                </c:pt>
                <c:pt idx="335">
                  <c:v>0.38369702020699703</c:v>
                </c:pt>
                <c:pt idx="336">
                  <c:v>0.38101441522881596</c:v>
                </c:pt>
                <c:pt idx="337">
                  <c:v>0.3974277809438066</c:v>
                </c:pt>
                <c:pt idx="338">
                  <c:v>0.38532563035364115</c:v>
                </c:pt>
                <c:pt idx="339">
                  <c:v>0.37754833849559327</c:v>
                </c:pt>
                <c:pt idx="340">
                  <c:v>0.37793419179415083</c:v>
                </c:pt>
                <c:pt idx="341">
                  <c:v>0.37897255918707745</c:v>
                </c:pt>
                <c:pt idx="342">
                  <c:v>0.36290481511973255</c:v>
                </c:pt>
                <c:pt idx="343">
                  <c:v>0.36230260049281882</c:v>
                </c:pt>
                <c:pt idx="344">
                  <c:v>0.36317949123258125</c:v>
                </c:pt>
                <c:pt idx="345">
                  <c:v>0.37126605811212093</c:v>
                </c:pt>
                <c:pt idx="346">
                  <c:v>0.37096845306045501</c:v>
                </c:pt>
                <c:pt idx="347">
                  <c:v>0.36659505401051201</c:v>
                </c:pt>
                <c:pt idx="348">
                  <c:v>0.34601059018983366</c:v>
                </c:pt>
                <c:pt idx="349">
                  <c:v>0.30010154527884997</c:v>
                </c:pt>
                <c:pt idx="350">
                  <c:v>0.30015210655665014</c:v>
                </c:pt>
                <c:pt idx="351">
                  <c:v>0.29416228047540471</c:v>
                </c:pt>
                <c:pt idx="352">
                  <c:v>0.25247210190668057</c:v>
                </c:pt>
                <c:pt idx="353">
                  <c:v>0.26916427513623742</c:v>
                </c:pt>
                <c:pt idx="354">
                  <c:v>0.26345552834743841</c:v>
                </c:pt>
                <c:pt idx="355">
                  <c:v>0.26516612627458991</c:v>
                </c:pt>
                <c:pt idx="356">
                  <c:v>0.27346787401623041</c:v>
                </c:pt>
                <c:pt idx="357">
                  <c:v>0.24866734863997267</c:v>
                </c:pt>
                <c:pt idx="358">
                  <c:v>0.25785977950123362</c:v>
                </c:pt>
                <c:pt idx="359">
                  <c:v>0.27108354816879371</c:v>
                </c:pt>
                <c:pt idx="360">
                  <c:v>0.27153277766479916</c:v>
                </c:pt>
                <c:pt idx="361">
                  <c:v>0.26794553207767907</c:v>
                </c:pt>
                <c:pt idx="362">
                  <c:v>0.26897210120501797</c:v>
                </c:pt>
                <c:pt idx="363">
                  <c:v>0.26711432601373586</c:v>
                </c:pt>
                <c:pt idx="364">
                  <c:v>0.2788517284774209</c:v>
                </c:pt>
                <c:pt idx="365">
                  <c:v>0.27264559292561991</c:v>
                </c:pt>
                <c:pt idx="366">
                  <c:v>0.27634521891365477</c:v>
                </c:pt>
                <c:pt idx="367">
                  <c:v>0.26096248405660916</c:v>
                </c:pt>
                <c:pt idx="368">
                  <c:v>0.26226936103950677</c:v>
                </c:pt>
                <c:pt idx="369">
                  <c:v>0.27255343581199709</c:v>
                </c:pt>
                <c:pt idx="370">
                  <c:v>0.27594212665457007</c:v>
                </c:pt>
                <c:pt idx="371">
                  <c:v>0.27673934279977624</c:v>
                </c:pt>
                <c:pt idx="372">
                  <c:v>0.2711608648588541</c:v>
                </c:pt>
                <c:pt idx="373">
                  <c:v>0.25814864432735662</c:v>
                </c:pt>
                <c:pt idx="374">
                  <c:v>0.26180106858835223</c:v>
                </c:pt>
                <c:pt idx="375">
                  <c:v>0.25905689676479676</c:v>
                </c:pt>
                <c:pt idx="376">
                  <c:v>0.26126113427200148</c:v>
                </c:pt>
                <c:pt idx="377">
                  <c:v>0.2804267179758681</c:v>
                </c:pt>
                <c:pt idx="378">
                  <c:v>0.26846436813664354</c:v>
                </c:pt>
                <c:pt idx="379">
                  <c:v>0.22583941156054016</c:v>
                </c:pt>
                <c:pt idx="380">
                  <c:v>0.23139555332943429</c:v>
                </c:pt>
                <c:pt idx="381">
                  <c:v>0.26820480505243838</c:v>
                </c:pt>
                <c:pt idx="382">
                  <c:v>0.26995942971666853</c:v>
                </c:pt>
                <c:pt idx="383">
                  <c:v>0.27205142747507843</c:v>
                </c:pt>
                <c:pt idx="384">
                  <c:v>0.24925565342846595</c:v>
                </c:pt>
                <c:pt idx="385">
                  <c:v>0.24782159049456354</c:v>
                </c:pt>
                <c:pt idx="386">
                  <c:v>0.25008028865162957</c:v>
                </c:pt>
                <c:pt idx="387">
                  <c:v>0.25027403613454474</c:v>
                </c:pt>
                <c:pt idx="388">
                  <c:v>0.26335252743024729</c:v>
                </c:pt>
                <c:pt idx="389">
                  <c:v>0.23946891392636827</c:v>
                </c:pt>
                <c:pt idx="390">
                  <c:v>0.2561899040505311</c:v>
                </c:pt>
                <c:pt idx="391">
                  <c:v>0.2488470132975191</c:v>
                </c:pt>
                <c:pt idx="392">
                  <c:v>0.30562083462473733</c:v>
                </c:pt>
                <c:pt idx="393">
                  <c:v>0.30944437665744251</c:v>
                </c:pt>
                <c:pt idx="394">
                  <c:v>0.31131077898352105</c:v>
                </c:pt>
                <c:pt idx="395">
                  <c:v>0.30978394611191745</c:v>
                </c:pt>
                <c:pt idx="396">
                  <c:v>0.30854709607362091</c:v>
                </c:pt>
                <c:pt idx="397">
                  <c:v>0.29842491135318255</c:v>
                </c:pt>
                <c:pt idx="398">
                  <c:v>0.30209677247469729</c:v>
                </c:pt>
                <c:pt idx="399">
                  <c:v>0.30169521284515027</c:v>
                </c:pt>
                <c:pt idx="400">
                  <c:v>0.2906905905066075</c:v>
                </c:pt>
                <c:pt idx="401">
                  <c:v>0.2622282706660502</c:v>
                </c:pt>
                <c:pt idx="402">
                  <c:v>0.2625178363012029</c:v>
                </c:pt>
                <c:pt idx="403">
                  <c:v>0.2757173550964544</c:v>
                </c:pt>
                <c:pt idx="404">
                  <c:v>0.29003347308475619</c:v>
                </c:pt>
                <c:pt idx="405">
                  <c:v>0.29256547231380731</c:v>
                </c:pt>
                <c:pt idx="406">
                  <c:v>0.30788346559613305</c:v>
                </c:pt>
                <c:pt idx="407">
                  <c:v>0.33156794888786123</c:v>
                </c:pt>
                <c:pt idx="408">
                  <c:v>0.32142684138682487</c:v>
                </c:pt>
                <c:pt idx="409">
                  <c:v>0.32050605892821205</c:v>
                </c:pt>
                <c:pt idx="410">
                  <c:v>0.32845905373668605</c:v>
                </c:pt>
                <c:pt idx="411">
                  <c:v>0.321432394034739</c:v>
                </c:pt>
                <c:pt idx="412">
                  <c:v>0.27011454206873675</c:v>
                </c:pt>
                <c:pt idx="413">
                  <c:v>0.26626040345516439</c:v>
                </c:pt>
                <c:pt idx="414">
                  <c:v>0.28221453228821025</c:v>
                </c:pt>
                <c:pt idx="415">
                  <c:v>0.29719243612896645</c:v>
                </c:pt>
                <c:pt idx="416">
                  <c:v>0.32469623719081897</c:v>
                </c:pt>
                <c:pt idx="417">
                  <c:v>0.32679077122741229</c:v>
                </c:pt>
                <c:pt idx="418">
                  <c:v>0.32197580171952678</c:v>
                </c:pt>
                <c:pt idx="419">
                  <c:v>0.31997374520202115</c:v>
                </c:pt>
                <c:pt idx="420">
                  <c:v>0.32712455908864685</c:v>
                </c:pt>
                <c:pt idx="421">
                  <c:v>0.328880151675499</c:v>
                </c:pt>
                <c:pt idx="422">
                  <c:v>0.33623716827824834</c:v>
                </c:pt>
                <c:pt idx="423">
                  <c:v>0.33954845434092662</c:v>
                </c:pt>
                <c:pt idx="424">
                  <c:v>0.32959467570884954</c:v>
                </c:pt>
                <c:pt idx="425">
                  <c:v>0.33948337148479141</c:v>
                </c:pt>
                <c:pt idx="426">
                  <c:v>0.33391709004005427</c:v>
                </c:pt>
                <c:pt idx="427">
                  <c:v>0.31581894345360628</c:v>
                </c:pt>
                <c:pt idx="428">
                  <c:v>0.33705654813866914</c:v>
                </c:pt>
                <c:pt idx="429">
                  <c:v>0.34191061482587742</c:v>
                </c:pt>
                <c:pt idx="430">
                  <c:v>0.32238672469436497</c:v>
                </c:pt>
                <c:pt idx="431">
                  <c:v>0.32290989271637488</c:v>
                </c:pt>
                <c:pt idx="432">
                  <c:v>0.31928957544053777</c:v>
                </c:pt>
                <c:pt idx="433">
                  <c:v>0.33098361951588157</c:v>
                </c:pt>
                <c:pt idx="434">
                  <c:v>0.41514589724377693</c:v>
                </c:pt>
                <c:pt idx="435">
                  <c:v>0.39955475728086565</c:v>
                </c:pt>
                <c:pt idx="436">
                  <c:v>0.38843688359914824</c:v>
                </c:pt>
                <c:pt idx="437">
                  <c:v>0.38996076263869967</c:v>
                </c:pt>
                <c:pt idx="438">
                  <c:v>0.39398134406554303</c:v>
                </c:pt>
                <c:pt idx="439">
                  <c:v>0.39332713987037743</c:v>
                </c:pt>
                <c:pt idx="440">
                  <c:v>0.38599467483095812</c:v>
                </c:pt>
                <c:pt idx="441">
                  <c:v>0.38677339908336661</c:v>
                </c:pt>
                <c:pt idx="442">
                  <c:v>0.38313418142604483</c:v>
                </c:pt>
                <c:pt idx="443">
                  <c:v>0.37480149669542207</c:v>
                </c:pt>
                <c:pt idx="444">
                  <c:v>0.36863392833882275</c:v>
                </c:pt>
                <c:pt idx="445">
                  <c:v>0.35817243578029617</c:v>
                </c:pt>
                <c:pt idx="446">
                  <c:v>0.35663615203971322</c:v>
                </c:pt>
                <c:pt idx="447">
                  <c:v>0.38763347993413344</c:v>
                </c:pt>
                <c:pt idx="448">
                  <c:v>0.3613447916009826</c:v>
                </c:pt>
                <c:pt idx="449">
                  <c:v>0.35126233907342663</c:v>
                </c:pt>
                <c:pt idx="450">
                  <c:v>0.35811330706711203</c:v>
                </c:pt>
                <c:pt idx="451">
                  <c:v>0.36793134609838091</c:v>
                </c:pt>
                <c:pt idx="452">
                  <c:v>0.36831266851876332</c:v>
                </c:pt>
                <c:pt idx="453">
                  <c:v>0.35715279984257209</c:v>
                </c:pt>
                <c:pt idx="454">
                  <c:v>0.24518416048362437</c:v>
                </c:pt>
                <c:pt idx="455">
                  <c:v>0.24015938198613673</c:v>
                </c:pt>
                <c:pt idx="456">
                  <c:v>0.24104026502259748</c:v>
                </c:pt>
                <c:pt idx="457">
                  <c:v>0.23741597638122136</c:v>
                </c:pt>
                <c:pt idx="458">
                  <c:v>0.26148767121280841</c:v>
                </c:pt>
                <c:pt idx="459">
                  <c:v>0.2630795358851945</c:v>
                </c:pt>
                <c:pt idx="460">
                  <c:v>0.26802182852045925</c:v>
                </c:pt>
                <c:pt idx="461">
                  <c:v>0.26651629061093096</c:v>
                </c:pt>
                <c:pt idx="462">
                  <c:v>0.26660148325498656</c:v>
                </c:pt>
                <c:pt idx="463">
                  <c:v>0.27380303838008924</c:v>
                </c:pt>
                <c:pt idx="464">
                  <c:v>0.27441774409561853</c:v>
                </c:pt>
                <c:pt idx="465">
                  <c:v>0.27413231784733261</c:v>
                </c:pt>
                <c:pt idx="466">
                  <c:v>0.27600353267809435</c:v>
                </c:pt>
                <c:pt idx="467">
                  <c:v>0.23270453287808879</c:v>
                </c:pt>
                <c:pt idx="468">
                  <c:v>0.23217709480048132</c:v>
                </c:pt>
                <c:pt idx="469">
                  <c:v>0.23225833040241062</c:v>
                </c:pt>
                <c:pt idx="470">
                  <c:v>0.23025675062553103</c:v>
                </c:pt>
                <c:pt idx="471">
                  <c:v>0.22599704444184257</c:v>
                </c:pt>
                <c:pt idx="472">
                  <c:v>0.25162735884040094</c:v>
                </c:pt>
                <c:pt idx="473">
                  <c:v>0.2484128823284289</c:v>
                </c:pt>
                <c:pt idx="474">
                  <c:v>0.25074336117220275</c:v>
                </c:pt>
                <c:pt idx="475">
                  <c:v>0.25481640141705902</c:v>
                </c:pt>
                <c:pt idx="476">
                  <c:v>0.25215553822020648</c:v>
                </c:pt>
                <c:pt idx="477">
                  <c:v>0.25286556286151868</c:v>
                </c:pt>
                <c:pt idx="478">
                  <c:v>0.22138148005557373</c:v>
                </c:pt>
                <c:pt idx="479">
                  <c:v>0.22388076822161324</c:v>
                </c:pt>
                <c:pt idx="480">
                  <c:v>0.21833860690011941</c:v>
                </c:pt>
                <c:pt idx="481">
                  <c:v>0.23720152233393121</c:v>
                </c:pt>
                <c:pt idx="482">
                  <c:v>0.24386730701338399</c:v>
                </c:pt>
                <c:pt idx="483">
                  <c:v>0.22258722437963113</c:v>
                </c:pt>
                <c:pt idx="484">
                  <c:v>0.22361490094733713</c:v>
                </c:pt>
                <c:pt idx="485">
                  <c:v>0.21972472779487323</c:v>
                </c:pt>
                <c:pt idx="486">
                  <c:v>0.20874786736479842</c:v>
                </c:pt>
                <c:pt idx="487">
                  <c:v>0.21821810837630462</c:v>
                </c:pt>
                <c:pt idx="488">
                  <c:v>0.22050013156774367</c:v>
                </c:pt>
                <c:pt idx="489">
                  <c:v>0.22293668292814253</c:v>
                </c:pt>
                <c:pt idx="490">
                  <c:v>0.24580146815427473</c:v>
                </c:pt>
                <c:pt idx="491">
                  <c:v>0.24861781280299131</c:v>
                </c:pt>
                <c:pt idx="492">
                  <c:v>0.24385085778630361</c:v>
                </c:pt>
                <c:pt idx="493">
                  <c:v>0.24923403871078498</c:v>
                </c:pt>
                <c:pt idx="494">
                  <c:v>0.26405869806646026</c:v>
                </c:pt>
                <c:pt idx="495">
                  <c:v>0.26501656950561564</c:v>
                </c:pt>
                <c:pt idx="496">
                  <c:v>0.26775088372702432</c:v>
                </c:pt>
                <c:pt idx="497">
                  <c:v>0.27112795176595772</c:v>
                </c:pt>
                <c:pt idx="498">
                  <c:v>0.27123490147915602</c:v>
                </c:pt>
                <c:pt idx="499">
                  <c:v>0.26342289604453673</c:v>
                </c:pt>
                <c:pt idx="500">
                  <c:v>0.27207543411328183</c:v>
                </c:pt>
                <c:pt idx="501">
                  <c:v>0.26182225564771222</c:v>
                </c:pt>
                <c:pt idx="502">
                  <c:v>0.26843902883413712</c:v>
                </c:pt>
                <c:pt idx="503">
                  <c:v>0.26820155579189392</c:v>
                </c:pt>
                <c:pt idx="504">
                  <c:v>0.26919565084515534</c:v>
                </c:pt>
                <c:pt idx="505">
                  <c:v>0.26813982783770135</c:v>
                </c:pt>
                <c:pt idx="506">
                  <c:v>0.26692861525953648</c:v>
                </c:pt>
                <c:pt idx="507">
                  <c:v>0.25640533800943971</c:v>
                </c:pt>
                <c:pt idx="508">
                  <c:v>0.25236940122585844</c:v>
                </c:pt>
                <c:pt idx="509">
                  <c:v>0.24136864862938218</c:v>
                </c:pt>
                <c:pt idx="510">
                  <c:v>0.21503019832401143</c:v>
                </c:pt>
                <c:pt idx="511">
                  <c:v>0.20681340811625976</c:v>
                </c:pt>
                <c:pt idx="512">
                  <c:v>0.20907931157235871</c:v>
                </c:pt>
                <c:pt idx="513">
                  <c:v>0.19421172967873687</c:v>
                </c:pt>
                <c:pt idx="514">
                  <c:v>0.19372453637032516</c:v>
                </c:pt>
                <c:pt idx="515">
                  <c:v>0.19705387846912806</c:v>
                </c:pt>
                <c:pt idx="516">
                  <c:v>0.19913752489859746</c:v>
                </c:pt>
                <c:pt idx="517">
                  <c:v>0.20855020457794524</c:v>
                </c:pt>
                <c:pt idx="518">
                  <c:v>0.20752913230576248</c:v>
                </c:pt>
                <c:pt idx="519">
                  <c:v>0.22775896587113253</c:v>
                </c:pt>
                <c:pt idx="520">
                  <c:v>0.21788044608733545</c:v>
                </c:pt>
                <c:pt idx="521">
                  <c:v>0.21611903131941104</c:v>
                </c:pt>
                <c:pt idx="522">
                  <c:v>0.2003417117886748</c:v>
                </c:pt>
                <c:pt idx="523">
                  <c:v>0.20857284996441253</c:v>
                </c:pt>
                <c:pt idx="524">
                  <c:v>0.21018703200995789</c:v>
                </c:pt>
                <c:pt idx="525">
                  <c:v>0.19789330965281796</c:v>
                </c:pt>
                <c:pt idx="526">
                  <c:v>0.20044376056237884</c:v>
                </c:pt>
                <c:pt idx="527">
                  <c:v>0.20196425508342208</c:v>
                </c:pt>
                <c:pt idx="528">
                  <c:v>0.20556169149284784</c:v>
                </c:pt>
                <c:pt idx="529">
                  <c:v>0.20595957346344601</c:v>
                </c:pt>
                <c:pt idx="530">
                  <c:v>0.20200507908501761</c:v>
                </c:pt>
                <c:pt idx="531">
                  <c:v>0.20295473582513096</c:v>
                </c:pt>
                <c:pt idx="532">
                  <c:v>0.19623520045077472</c:v>
                </c:pt>
                <c:pt idx="533">
                  <c:v>0.20201974719099286</c:v>
                </c:pt>
                <c:pt idx="534">
                  <c:v>0.18738795139344042</c:v>
                </c:pt>
                <c:pt idx="535">
                  <c:v>0.17569406783002448</c:v>
                </c:pt>
                <c:pt idx="536">
                  <c:v>0.17988721363165952</c:v>
                </c:pt>
                <c:pt idx="537">
                  <c:v>0.17110717269453743</c:v>
                </c:pt>
                <c:pt idx="538">
                  <c:v>0.181283471573673</c:v>
                </c:pt>
                <c:pt idx="539">
                  <c:v>0.16021653015566656</c:v>
                </c:pt>
                <c:pt idx="540">
                  <c:v>0.15835588730500491</c:v>
                </c:pt>
                <c:pt idx="541">
                  <c:v>0.15853902846963738</c:v>
                </c:pt>
                <c:pt idx="542">
                  <c:v>0.15203427257757723</c:v>
                </c:pt>
                <c:pt idx="543">
                  <c:v>0.14557297736644534</c:v>
                </c:pt>
                <c:pt idx="544">
                  <c:v>0.14051151558587999</c:v>
                </c:pt>
                <c:pt idx="545">
                  <c:v>0.14061531558093326</c:v>
                </c:pt>
                <c:pt idx="546">
                  <c:v>0.15505837243208237</c:v>
                </c:pt>
                <c:pt idx="547">
                  <c:v>0.15491057595223948</c:v>
                </c:pt>
                <c:pt idx="548">
                  <c:v>0.17072575388000882</c:v>
                </c:pt>
                <c:pt idx="549">
                  <c:v>0.16932715008678245</c:v>
                </c:pt>
                <c:pt idx="550">
                  <c:v>0.15920163300912121</c:v>
                </c:pt>
                <c:pt idx="551">
                  <c:v>0.16214209442204755</c:v>
                </c:pt>
                <c:pt idx="552">
                  <c:v>0.16338434252563697</c:v>
                </c:pt>
                <c:pt idx="553">
                  <c:v>0.15993427550122052</c:v>
                </c:pt>
                <c:pt idx="554">
                  <c:v>0.17548319496382975</c:v>
                </c:pt>
                <c:pt idx="555">
                  <c:v>0.17549853358472767</c:v>
                </c:pt>
                <c:pt idx="556">
                  <c:v>0.17545163707426689</c:v>
                </c:pt>
                <c:pt idx="557">
                  <c:v>0.17479698909374095</c:v>
                </c:pt>
                <c:pt idx="558">
                  <c:v>0.1621077729220067</c:v>
                </c:pt>
                <c:pt idx="559">
                  <c:v>0.16264173057897216</c:v>
                </c:pt>
                <c:pt idx="560">
                  <c:v>0.16337131528374363</c:v>
                </c:pt>
                <c:pt idx="561">
                  <c:v>0.16330953257727077</c:v>
                </c:pt>
                <c:pt idx="562">
                  <c:v>0.16751087054806518</c:v>
                </c:pt>
                <c:pt idx="563">
                  <c:v>0.17333202200828968</c:v>
                </c:pt>
                <c:pt idx="564">
                  <c:v>0.17428720152966218</c:v>
                </c:pt>
                <c:pt idx="565">
                  <c:v>0.17320333125333048</c:v>
                </c:pt>
                <c:pt idx="566">
                  <c:v>0.16380055336984659</c:v>
                </c:pt>
                <c:pt idx="567">
                  <c:v>0.16644722623363017</c:v>
                </c:pt>
                <c:pt idx="568">
                  <c:v>0.16119436436012269</c:v>
                </c:pt>
                <c:pt idx="569">
                  <c:v>0.1797267873216209</c:v>
                </c:pt>
                <c:pt idx="570">
                  <c:v>0.17873066975104643</c:v>
                </c:pt>
                <c:pt idx="571">
                  <c:v>0.17612464321403692</c:v>
                </c:pt>
                <c:pt idx="572">
                  <c:v>0.17295486090793519</c:v>
                </c:pt>
                <c:pt idx="573">
                  <c:v>0.16992362595771759</c:v>
                </c:pt>
                <c:pt idx="574">
                  <c:v>0.16055431397375608</c:v>
                </c:pt>
                <c:pt idx="575">
                  <c:v>0.16133191152157716</c:v>
                </c:pt>
                <c:pt idx="576">
                  <c:v>0.17478808102145404</c:v>
                </c:pt>
                <c:pt idx="577">
                  <c:v>0.17565609950248137</c:v>
                </c:pt>
                <c:pt idx="578">
                  <c:v>0.17562759878964654</c:v>
                </c:pt>
                <c:pt idx="579">
                  <c:v>0.17856791647968218</c:v>
                </c:pt>
                <c:pt idx="580">
                  <c:v>0.17877714374837014</c:v>
                </c:pt>
                <c:pt idx="581">
                  <c:v>0.17817644433933641</c:v>
                </c:pt>
                <c:pt idx="582">
                  <c:v>0.17808747954886076</c:v>
                </c:pt>
                <c:pt idx="583">
                  <c:v>0.1760375953943967</c:v>
                </c:pt>
                <c:pt idx="584">
                  <c:v>0.17632250895221832</c:v>
                </c:pt>
                <c:pt idx="585">
                  <c:v>0.18759056747235844</c:v>
                </c:pt>
                <c:pt idx="586">
                  <c:v>0.1794684486284247</c:v>
                </c:pt>
                <c:pt idx="587">
                  <c:v>0.18371963202773373</c:v>
                </c:pt>
                <c:pt idx="588">
                  <c:v>0.17852099012313727</c:v>
                </c:pt>
                <c:pt idx="589">
                  <c:v>0.16634601426134285</c:v>
                </c:pt>
                <c:pt idx="590">
                  <c:v>0.1661220442150719</c:v>
                </c:pt>
                <c:pt idx="591">
                  <c:v>0.16433955730519476</c:v>
                </c:pt>
                <c:pt idx="592">
                  <c:v>0.16777294411318366</c:v>
                </c:pt>
                <c:pt idx="593">
                  <c:v>0.16671772509159682</c:v>
                </c:pt>
                <c:pt idx="594">
                  <c:v>0.16682571480040309</c:v>
                </c:pt>
                <c:pt idx="595">
                  <c:v>0.17027259211700854</c:v>
                </c:pt>
                <c:pt idx="596">
                  <c:v>0.15666912813228406</c:v>
                </c:pt>
                <c:pt idx="597">
                  <c:v>0.15232522464761905</c:v>
                </c:pt>
                <c:pt idx="598">
                  <c:v>0.15256563798425435</c:v>
                </c:pt>
                <c:pt idx="599">
                  <c:v>0.14769033611926219</c:v>
                </c:pt>
                <c:pt idx="600">
                  <c:v>0.1561102932982075</c:v>
                </c:pt>
                <c:pt idx="601">
                  <c:v>0.15513739210777919</c:v>
                </c:pt>
                <c:pt idx="602">
                  <c:v>0.15316907043772884</c:v>
                </c:pt>
                <c:pt idx="603">
                  <c:v>0.15177921189202331</c:v>
                </c:pt>
                <c:pt idx="604">
                  <c:v>0.15088179622031633</c:v>
                </c:pt>
                <c:pt idx="605">
                  <c:v>0.1671098485633554</c:v>
                </c:pt>
                <c:pt idx="606">
                  <c:v>0.16390446785799065</c:v>
                </c:pt>
                <c:pt idx="607">
                  <c:v>0.15843629160581571</c:v>
                </c:pt>
                <c:pt idx="608">
                  <c:v>0.14845614607893939</c:v>
                </c:pt>
                <c:pt idx="609">
                  <c:v>0.13989460141085275</c:v>
                </c:pt>
                <c:pt idx="610">
                  <c:v>0.14071157119142017</c:v>
                </c:pt>
                <c:pt idx="611">
                  <c:v>0.15159465232664796</c:v>
                </c:pt>
                <c:pt idx="612">
                  <c:v>0.14402297733797848</c:v>
                </c:pt>
                <c:pt idx="613">
                  <c:v>0.14479584031123027</c:v>
                </c:pt>
                <c:pt idx="614">
                  <c:v>0.16740066084627253</c:v>
                </c:pt>
                <c:pt idx="615">
                  <c:v>0.16482496543004871</c:v>
                </c:pt>
                <c:pt idx="616">
                  <c:v>0.16535800892136623</c:v>
                </c:pt>
                <c:pt idx="617">
                  <c:v>0.16753465618740843</c:v>
                </c:pt>
                <c:pt idx="618">
                  <c:v>0.17037283273115905</c:v>
                </c:pt>
                <c:pt idx="619">
                  <c:v>0.16882861314033412</c:v>
                </c:pt>
                <c:pt idx="620">
                  <c:v>0.15597696078745862</c:v>
                </c:pt>
                <c:pt idx="621">
                  <c:v>0.15690409619308168</c:v>
                </c:pt>
                <c:pt idx="622">
                  <c:v>0.158788504088442</c:v>
                </c:pt>
                <c:pt idx="623">
                  <c:v>0.15747448240002093</c:v>
                </c:pt>
                <c:pt idx="624">
                  <c:v>0.15975471788108916</c:v>
                </c:pt>
                <c:pt idx="625">
                  <c:v>0.14469108812346282</c:v>
                </c:pt>
                <c:pt idx="626">
                  <c:v>0.14473258394047633</c:v>
                </c:pt>
                <c:pt idx="627">
                  <c:v>0.15848947994460494</c:v>
                </c:pt>
                <c:pt idx="628">
                  <c:v>0.15537039973863573</c:v>
                </c:pt>
                <c:pt idx="629">
                  <c:v>0.16755995728199538</c:v>
                </c:pt>
                <c:pt idx="630">
                  <c:v>0.18243211830411021</c:v>
                </c:pt>
                <c:pt idx="631">
                  <c:v>0.17042328631489378</c:v>
                </c:pt>
                <c:pt idx="632">
                  <c:v>0.17387482017273639</c:v>
                </c:pt>
                <c:pt idx="633">
                  <c:v>0.19366785955731294</c:v>
                </c:pt>
                <c:pt idx="634">
                  <c:v>0.17818945606302708</c:v>
                </c:pt>
                <c:pt idx="635">
                  <c:v>0.178255978364077</c:v>
                </c:pt>
                <c:pt idx="636">
                  <c:v>0.17728834554754899</c:v>
                </c:pt>
                <c:pt idx="637">
                  <c:v>0.1749860728153653</c:v>
                </c:pt>
                <c:pt idx="638">
                  <c:v>0.17519639699973225</c:v>
                </c:pt>
                <c:pt idx="639">
                  <c:v>0.17238259783180337</c:v>
                </c:pt>
                <c:pt idx="640">
                  <c:v>0.1723473219002665</c:v>
                </c:pt>
                <c:pt idx="641">
                  <c:v>0.17464491353837974</c:v>
                </c:pt>
                <c:pt idx="642">
                  <c:v>0.17612575919270129</c:v>
                </c:pt>
                <c:pt idx="643">
                  <c:v>0.17156149085526146</c:v>
                </c:pt>
                <c:pt idx="644">
                  <c:v>0.16747552274187869</c:v>
                </c:pt>
                <c:pt idx="645">
                  <c:v>0.17511530936032155</c:v>
                </c:pt>
                <c:pt idx="646">
                  <c:v>0.17494858936825297</c:v>
                </c:pt>
                <c:pt idx="647">
                  <c:v>0.16692644117385042</c:v>
                </c:pt>
                <c:pt idx="648">
                  <c:v>0.175437271202115</c:v>
                </c:pt>
                <c:pt idx="649">
                  <c:v>0.17708693200445177</c:v>
                </c:pt>
                <c:pt idx="650">
                  <c:v>0.16075325528805162</c:v>
                </c:pt>
                <c:pt idx="651">
                  <c:v>0.15907598675529372</c:v>
                </c:pt>
                <c:pt idx="652">
                  <c:v>0.16392562069839706</c:v>
                </c:pt>
                <c:pt idx="653">
                  <c:v>0.13961638676810365</c:v>
                </c:pt>
                <c:pt idx="654">
                  <c:v>0.14212751873368751</c:v>
                </c:pt>
                <c:pt idx="655">
                  <c:v>0.14118222420341117</c:v>
                </c:pt>
                <c:pt idx="656">
                  <c:v>0.14642636084013716</c:v>
                </c:pt>
                <c:pt idx="657">
                  <c:v>0.15552218495781997</c:v>
                </c:pt>
                <c:pt idx="658">
                  <c:v>0.1647109624874899</c:v>
                </c:pt>
                <c:pt idx="659">
                  <c:v>0.1636352433166772</c:v>
                </c:pt>
                <c:pt idx="660">
                  <c:v>0.1761869412781582</c:v>
                </c:pt>
                <c:pt idx="661">
                  <c:v>0.17128016058515336</c:v>
                </c:pt>
                <c:pt idx="662">
                  <c:v>0.16888523753261508</c:v>
                </c:pt>
                <c:pt idx="663">
                  <c:v>0.17041982331826733</c:v>
                </c:pt>
                <c:pt idx="664">
                  <c:v>0.16768780653750107</c:v>
                </c:pt>
                <c:pt idx="665">
                  <c:v>0.16255619365782908</c:v>
                </c:pt>
                <c:pt idx="666">
                  <c:v>0.16806148665932394</c:v>
                </c:pt>
                <c:pt idx="667">
                  <c:v>0.16829242222368723</c:v>
                </c:pt>
                <c:pt idx="668">
                  <c:v>0.16689879897550153</c:v>
                </c:pt>
                <c:pt idx="669">
                  <c:v>0.15663717345034145</c:v>
                </c:pt>
                <c:pt idx="670">
                  <c:v>0.16574724501173849</c:v>
                </c:pt>
                <c:pt idx="671">
                  <c:v>0.16514460324589603</c:v>
                </c:pt>
                <c:pt idx="672">
                  <c:v>0.15955828056745183</c:v>
                </c:pt>
                <c:pt idx="673">
                  <c:v>0.18270079129363628</c:v>
                </c:pt>
                <c:pt idx="674">
                  <c:v>0.19061897204755979</c:v>
                </c:pt>
                <c:pt idx="675">
                  <c:v>0.19192906846187338</c:v>
                </c:pt>
                <c:pt idx="676">
                  <c:v>0.19423605404325342</c:v>
                </c:pt>
                <c:pt idx="677">
                  <c:v>0.18595116341296977</c:v>
                </c:pt>
                <c:pt idx="678">
                  <c:v>0.19015367222078838</c:v>
                </c:pt>
                <c:pt idx="679">
                  <c:v>0.20074450480567263</c:v>
                </c:pt>
                <c:pt idx="680">
                  <c:v>0.19617968997104165</c:v>
                </c:pt>
                <c:pt idx="681">
                  <c:v>0.19589436883824476</c:v>
                </c:pt>
                <c:pt idx="682">
                  <c:v>0.19773167686524656</c:v>
                </c:pt>
                <c:pt idx="683">
                  <c:v>0.19623542529429672</c:v>
                </c:pt>
                <c:pt idx="684">
                  <c:v>0.19787843216846701</c:v>
                </c:pt>
                <c:pt idx="685">
                  <c:v>0.20703357917081178</c:v>
                </c:pt>
                <c:pt idx="686">
                  <c:v>0.2046083831796717</c:v>
                </c:pt>
                <c:pt idx="687">
                  <c:v>0.21614963821360347</c:v>
                </c:pt>
                <c:pt idx="688">
                  <c:v>0.20844266266746225</c:v>
                </c:pt>
                <c:pt idx="689">
                  <c:v>0.20346814685226827</c:v>
                </c:pt>
                <c:pt idx="690">
                  <c:v>0.19199458646238687</c:v>
                </c:pt>
                <c:pt idx="691">
                  <c:v>0.19390887317896435</c:v>
                </c:pt>
                <c:pt idx="692">
                  <c:v>0.19648094343462133</c:v>
                </c:pt>
                <c:pt idx="693">
                  <c:v>0.16523772300447009</c:v>
                </c:pt>
                <c:pt idx="694">
                  <c:v>0.14055352559458842</c:v>
                </c:pt>
                <c:pt idx="695">
                  <c:v>0.14279116294820537</c:v>
                </c:pt>
                <c:pt idx="696">
                  <c:v>0.14188539995364072</c:v>
                </c:pt>
                <c:pt idx="697">
                  <c:v>0.14378521126675609</c:v>
                </c:pt>
                <c:pt idx="698">
                  <c:v>0.13893119911728882</c:v>
                </c:pt>
                <c:pt idx="699">
                  <c:v>0.12898669240255531</c:v>
                </c:pt>
                <c:pt idx="700">
                  <c:v>0.13281765650732485</c:v>
                </c:pt>
                <c:pt idx="701">
                  <c:v>0.13268764122834112</c:v>
                </c:pt>
                <c:pt idx="702">
                  <c:v>0.13300836179836054</c:v>
                </c:pt>
                <c:pt idx="703">
                  <c:v>0.13988838111760371</c:v>
                </c:pt>
                <c:pt idx="704">
                  <c:v>0.13489791204345838</c:v>
                </c:pt>
                <c:pt idx="705">
                  <c:v>0.11584063939666829</c:v>
                </c:pt>
                <c:pt idx="706">
                  <c:v>0.11571929776016361</c:v>
                </c:pt>
                <c:pt idx="707">
                  <c:v>9.9958866919628644E-2</c:v>
                </c:pt>
                <c:pt idx="708">
                  <c:v>0.1004672174557051</c:v>
                </c:pt>
                <c:pt idx="709">
                  <c:v>0.10071447223325923</c:v>
                </c:pt>
                <c:pt idx="710">
                  <c:v>0.10054779065594403</c:v>
                </c:pt>
                <c:pt idx="711">
                  <c:v>9.4649721821434774E-2</c:v>
                </c:pt>
                <c:pt idx="712">
                  <c:v>0.10928347340829213</c:v>
                </c:pt>
                <c:pt idx="713">
                  <c:v>0.11447441025971014</c:v>
                </c:pt>
                <c:pt idx="714">
                  <c:v>0.11370518039719116</c:v>
                </c:pt>
                <c:pt idx="715">
                  <c:v>0.1137516450666209</c:v>
                </c:pt>
                <c:pt idx="716">
                  <c:v>0.11383583582528486</c:v>
                </c:pt>
                <c:pt idx="717">
                  <c:v>0.11364076765301216</c:v>
                </c:pt>
                <c:pt idx="718">
                  <c:v>0.11492196572670538</c:v>
                </c:pt>
                <c:pt idx="719">
                  <c:v>0.13421018297122567</c:v>
                </c:pt>
                <c:pt idx="720">
                  <c:v>0.13568132539762473</c:v>
                </c:pt>
                <c:pt idx="721">
                  <c:v>0.1376823943784323</c:v>
                </c:pt>
                <c:pt idx="722">
                  <c:v>0.13520478330257704</c:v>
                </c:pt>
                <c:pt idx="723">
                  <c:v>0.14510240296892518</c:v>
                </c:pt>
                <c:pt idx="724">
                  <c:v>0.14478205436092764</c:v>
                </c:pt>
                <c:pt idx="725">
                  <c:v>0.14381520785641894</c:v>
                </c:pt>
                <c:pt idx="726">
                  <c:v>0.14189531918231099</c:v>
                </c:pt>
                <c:pt idx="727">
                  <c:v>0.13540474292192148</c:v>
                </c:pt>
                <c:pt idx="728">
                  <c:v>0.13531037942553079</c:v>
                </c:pt>
                <c:pt idx="729">
                  <c:v>0.13626229216941305</c:v>
                </c:pt>
                <c:pt idx="730">
                  <c:v>0.14443175552397111</c:v>
                </c:pt>
                <c:pt idx="731">
                  <c:v>0.15902719123230205</c:v>
                </c:pt>
                <c:pt idx="732">
                  <c:v>0.146862796116911</c:v>
                </c:pt>
                <c:pt idx="733">
                  <c:v>0.14290527624606542</c:v>
                </c:pt>
                <c:pt idx="734">
                  <c:v>0.14346507524413829</c:v>
                </c:pt>
                <c:pt idx="735">
                  <c:v>0.14271056221994619</c:v>
                </c:pt>
                <c:pt idx="736">
                  <c:v>0.14540906029982945</c:v>
                </c:pt>
                <c:pt idx="737">
                  <c:v>0.14840575998131433</c:v>
                </c:pt>
                <c:pt idx="738">
                  <c:v>0.14995546890363223</c:v>
                </c:pt>
                <c:pt idx="739">
                  <c:v>0.15462390492266348</c:v>
                </c:pt>
                <c:pt idx="740">
                  <c:v>0.15120473803851828</c:v>
                </c:pt>
                <c:pt idx="741">
                  <c:v>0.15578956526410953</c:v>
                </c:pt>
                <c:pt idx="742">
                  <c:v>0.15663965189083395</c:v>
                </c:pt>
                <c:pt idx="743">
                  <c:v>0.14466119147286141</c:v>
                </c:pt>
                <c:pt idx="744">
                  <c:v>0.14705181394415781</c:v>
                </c:pt>
                <c:pt idx="745">
                  <c:v>0.1464914207031994</c:v>
                </c:pt>
                <c:pt idx="746">
                  <c:v>0.14847066627278921</c:v>
                </c:pt>
                <c:pt idx="747">
                  <c:v>0.15039924561208473</c:v>
                </c:pt>
                <c:pt idx="748">
                  <c:v>0.16419891422856117</c:v>
                </c:pt>
                <c:pt idx="749">
                  <c:v>0.16405231922538424</c:v>
                </c:pt>
                <c:pt idx="750">
                  <c:v>0.15878533638685643</c:v>
                </c:pt>
                <c:pt idx="751">
                  <c:v>0.15006453917931575</c:v>
                </c:pt>
                <c:pt idx="752">
                  <c:v>0.15319753360802738</c:v>
                </c:pt>
                <c:pt idx="753">
                  <c:v>0.15349729522895017</c:v>
                </c:pt>
                <c:pt idx="754">
                  <c:v>0.18428548403911008</c:v>
                </c:pt>
                <c:pt idx="755">
                  <c:v>0.18495566063780661</c:v>
                </c:pt>
                <c:pt idx="756">
                  <c:v>0.18313526763905888</c:v>
                </c:pt>
                <c:pt idx="757">
                  <c:v>0.18029081345974074</c:v>
                </c:pt>
                <c:pt idx="758">
                  <c:v>0.17958614478500529</c:v>
                </c:pt>
                <c:pt idx="759">
                  <c:v>0.1634027546565828</c:v>
                </c:pt>
                <c:pt idx="760">
                  <c:v>0.16623006425469547</c:v>
                </c:pt>
                <c:pt idx="761">
                  <c:v>0.15890518063713749</c:v>
                </c:pt>
                <c:pt idx="762">
                  <c:v>0.17348910232698617</c:v>
                </c:pt>
                <c:pt idx="763">
                  <c:v>0.17411861546310273</c:v>
                </c:pt>
                <c:pt idx="764">
                  <c:v>0.17826222634040384</c:v>
                </c:pt>
                <c:pt idx="765">
                  <c:v>0.1871059719246943</c:v>
                </c:pt>
                <c:pt idx="766">
                  <c:v>0.18456780115899327</c:v>
                </c:pt>
                <c:pt idx="767">
                  <c:v>0.19057061636635525</c:v>
                </c:pt>
                <c:pt idx="768">
                  <c:v>0.18335668764062571</c:v>
                </c:pt>
                <c:pt idx="769">
                  <c:v>0.18031007671645594</c:v>
                </c:pt>
                <c:pt idx="770">
                  <c:v>0.18550834228105942</c:v>
                </c:pt>
                <c:pt idx="771">
                  <c:v>0.18444321959662352</c:v>
                </c:pt>
                <c:pt idx="772">
                  <c:v>0.18179676108898657</c:v>
                </c:pt>
                <c:pt idx="773">
                  <c:v>0.18428904475764341</c:v>
                </c:pt>
                <c:pt idx="774">
                  <c:v>0.15458225978395479</c:v>
                </c:pt>
                <c:pt idx="775">
                  <c:v>0.15390353592254769</c:v>
                </c:pt>
                <c:pt idx="776">
                  <c:v>0.15473886657620692</c:v>
                </c:pt>
                <c:pt idx="777">
                  <c:v>0.15534341072703306</c:v>
                </c:pt>
                <c:pt idx="778">
                  <c:v>0.15394130026227817</c:v>
                </c:pt>
                <c:pt idx="779">
                  <c:v>0.15168938351649075</c:v>
                </c:pt>
                <c:pt idx="780">
                  <c:v>0.14198894294724801</c:v>
                </c:pt>
                <c:pt idx="781">
                  <c:v>0.14476879003135257</c:v>
                </c:pt>
                <c:pt idx="782">
                  <c:v>0.12898071825293211</c:v>
                </c:pt>
                <c:pt idx="783">
                  <c:v>0.13898559901377289</c:v>
                </c:pt>
                <c:pt idx="784">
                  <c:v>0.13439989929157636</c:v>
                </c:pt>
                <c:pt idx="785">
                  <c:v>0.12394876444159471</c:v>
                </c:pt>
                <c:pt idx="786">
                  <c:v>0.12363064745774588</c:v>
                </c:pt>
                <c:pt idx="787">
                  <c:v>0.11649518841567755</c:v>
                </c:pt>
                <c:pt idx="788">
                  <c:v>0.12711644153188673</c:v>
                </c:pt>
                <c:pt idx="789">
                  <c:v>0.13979364060119648</c:v>
                </c:pt>
                <c:pt idx="790">
                  <c:v>0.14572698695461619</c:v>
                </c:pt>
                <c:pt idx="791">
                  <c:v>0.14225887726348596</c:v>
                </c:pt>
                <c:pt idx="792">
                  <c:v>0.14736121518024733</c:v>
                </c:pt>
                <c:pt idx="793">
                  <c:v>0.13932535561350048</c:v>
                </c:pt>
                <c:pt idx="794">
                  <c:v>0.15101730511803371</c:v>
                </c:pt>
                <c:pt idx="795">
                  <c:v>0.15787326451823228</c:v>
                </c:pt>
                <c:pt idx="796">
                  <c:v>0.17034397975626214</c:v>
                </c:pt>
                <c:pt idx="797">
                  <c:v>0.17143207679077566</c:v>
                </c:pt>
                <c:pt idx="798">
                  <c:v>0.17055726003980412</c:v>
                </c:pt>
                <c:pt idx="799">
                  <c:v>0.18180586754725878</c:v>
                </c:pt>
                <c:pt idx="800">
                  <c:v>0.18243754750389723</c:v>
                </c:pt>
                <c:pt idx="801">
                  <c:v>0.19126495048134218</c:v>
                </c:pt>
                <c:pt idx="802">
                  <c:v>0.19153980178320409</c:v>
                </c:pt>
                <c:pt idx="803">
                  <c:v>0.19221137635065486</c:v>
                </c:pt>
                <c:pt idx="804">
                  <c:v>0.20153320323981291</c:v>
                </c:pt>
                <c:pt idx="805">
                  <c:v>0.20559616097988637</c:v>
                </c:pt>
                <c:pt idx="806">
                  <c:v>0.20514394442131792</c:v>
                </c:pt>
                <c:pt idx="807">
                  <c:v>0.20264216444601296</c:v>
                </c:pt>
                <c:pt idx="808">
                  <c:v>0.19421048669655047</c:v>
                </c:pt>
                <c:pt idx="809">
                  <c:v>0.18547853379860454</c:v>
                </c:pt>
                <c:pt idx="810">
                  <c:v>0.17436590153817283</c:v>
                </c:pt>
                <c:pt idx="811">
                  <c:v>0.17516961416558555</c:v>
                </c:pt>
                <c:pt idx="812">
                  <c:v>0.17362069301574787</c:v>
                </c:pt>
                <c:pt idx="813">
                  <c:v>0.17161507918664812</c:v>
                </c:pt>
                <c:pt idx="814">
                  <c:v>0.14739323934924642</c:v>
                </c:pt>
                <c:pt idx="815">
                  <c:v>0.14620741961590511</c:v>
                </c:pt>
                <c:pt idx="816">
                  <c:v>0.14071453370576611</c:v>
                </c:pt>
                <c:pt idx="817">
                  <c:v>0.14133784276843889</c:v>
                </c:pt>
                <c:pt idx="818">
                  <c:v>0.14108798838274153</c:v>
                </c:pt>
                <c:pt idx="819">
                  <c:v>0.13580862544799924</c:v>
                </c:pt>
                <c:pt idx="820">
                  <c:v>0.13578504794108448</c:v>
                </c:pt>
                <c:pt idx="821">
                  <c:v>0.11545779422546749</c:v>
                </c:pt>
                <c:pt idx="822">
                  <c:v>0.12036773391023306</c:v>
                </c:pt>
                <c:pt idx="823">
                  <c:v>0.11653104299365002</c:v>
                </c:pt>
                <c:pt idx="824">
                  <c:v>9.7632243035593605E-2</c:v>
                </c:pt>
                <c:pt idx="825">
                  <c:v>9.1829429564819778E-2</c:v>
                </c:pt>
                <c:pt idx="826">
                  <c:v>0.11274251977586086</c:v>
                </c:pt>
                <c:pt idx="827">
                  <c:v>0.11265390465998661</c:v>
                </c:pt>
                <c:pt idx="828">
                  <c:v>0.11333159937575686</c:v>
                </c:pt>
                <c:pt idx="829">
                  <c:v>0.11346964672945227</c:v>
                </c:pt>
                <c:pt idx="830">
                  <c:v>0.11449404173512258</c:v>
                </c:pt>
                <c:pt idx="831">
                  <c:v>0.11965305637687546</c:v>
                </c:pt>
                <c:pt idx="832">
                  <c:v>0.11061923263599795</c:v>
                </c:pt>
                <c:pt idx="833">
                  <c:v>0.10958136935607443</c:v>
                </c:pt>
                <c:pt idx="834">
                  <c:v>0.11353859757704984</c:v>
                </c:pt>
                <c:pt idx="835">
                  <c:v>0.11336646033142021</c:v>
                </c:pt>
                <c:pt idx="836">
                  <c:v>0.11983868257926418</c:v>
                </c:pt>
                <c:pt idx="837">
                  <c:v>0.12097228116079525</c:v>
                </c:pt>
                <c:pt idx="838">
                  <c:v>0.13090995827718876</c:v>
                </c:pt>
                <c:pt idx="839">
                  <c:v>0.13253868360854948</c:v>
                </c:pt>
                <c:pt idx="840">
                  <c:v>0.13242862750195741</c:v>
                </c:pt>
                <c:pt idx="841">
                  <c:v>0.12780442250560009</c:v>
                </c:pt>
                <c:pt idx="842">
                  <c:v>0.12145228117093605</c:v>
                </c:pt>
                <c:pt idx="843">
                  <c:v>0.12044838703567705</c:v>
                </c:pt>
                <c:pt idx="844">
                  <c:v>0.12292315058160362</c:v>
                </c:pt>
                <c:pt idx="845">
                  <c:v>0.12398196975287067</c:v>
                </c:pt>
                <c:pt idx="846">
                  <c:v>0.11122774951976182</c:v>
                </c:pt>
                <c:pt idx="847">
                  <c:v>0.11041877121347815</c:v>
                </c:pt>
                <c:pt idx="848">
                  <c:v>0.10965534183009328</c:v>
                </c:pt>
                <c:pt idx="849">
                  <c:v>0.11226571662603836</c:v>
                </c:pt>
                <c:pt idx="850">
                  <c:v>0.14436986162822529</c:v>
                </c:pt>
                <c:pt idx="851">
                  <c:v>0.13955640279876408</c:v>
                </c:pt>
                <c:pt idx="852">
                  <c:v>0.13904919222738393</c:v>
                </c:pt>
                <c:pt idx="853">
                  <c:v>0.13865227659416673</c:v>
                </c:pt>
                <c:pt idx="854">
                  <c:v>0.17174851371670982</c:v>
                </c:pt>
                <c:pt idx="855">
                  <c:v>0.17244850648585697</c:v>
                </c:pt>
                <c:pt idx="856">
                  <c:v>0.1731333394745356</c:v>
                </c:pt>
                <c:pt idx="857">
                  <c:v>0.18137158619194257</c:v>
                </c:pt>
                <c:pt idx="858">
                  <c:v>0.17522770819473507</c:v>
                </c:pt>
                <c:pt idx="859">
                  <c:v>0.21330914643487089</c:v>
                </c:pt>
                <c:pt idx="860">
                  <c:v>0.21537100914696142</c:v>
                </c:pt>
                <c:pt idx="861">
                  <c:v>0.21934707553495905</c:v>
                </c:pt>
                <c:pt idx="862">
                  <c:v>0.21939443608584352</c:v>
                </c:pt>
                <c:pt idx="863">
                  <c:v>0.22166131004999509</c:v>
                </c:pt>
                <c:pt idx="864">
                  <c:v>0.24558414112136615</c:v>
                </c:pt>
                <c:pt idx="865">
                  <c:v>0.2552127622079679</c:v>
                </c:pt>
                <c:pt idx="866">
                  <c:v>0.25983487628241025</c:v>
                </c:pt>
                <c:pt idx="867">
                  <c:v>0.272716688624904</c:v>
                </c:pt>
                <c:pt idx="868">
                  <c:v>0.27752766734904899</c:v>
                </c:pt>
                <c:pt idx="869">
                  <c:v>0.27096283549084649</c:v>
                </c:pt>
                <c:pt idx="870">
                  <c:v>0.29587622477047359</c:v>
                </c:pt>
                <c:pt idx="871">
                  <c:v>0.29558192608198075</c:v>
                </c:pt>
                <c:pt idx="872">
                  <c:v>0.29541503717038775</c:v>
                </c:pt>
                <c:pt idx="873">
                  <c:v>0.31303060721832737</c:v>
                </c:pt>
                <c:pt idx="874">
                  <c:v>0.29765536265322901</c:v>
                </c:pt>
                <c:pt idx="875">
                  <c:v>0.31247298983889438</c:v>
                </c:pt>
                <c:pt idx="876">
                  <c:v>0.31087687687565091</c:v>
                </c:pt>
                <c:pt idx="877">
                  <c:v>0.30983032869505517</c:v>
                </c:pt>
                <c:pt idx="878">
                  <c:v>0.30965205298743159</c:v>
                </c:pt>
                <c:pt idx="879">
                  <c:v>0.2790402641697049</c:v>
                </c:pt>
                <c:pt idx="880">
                  <c:v>0.28257224414576443</c:v>
                </c:pt>
                <c:pt idx="881">
                  <c:v>0.28281032370146381</c:v>
                </c:pt>
                <c:pt idx="882">
                  <c:v>0.28582494109178003</c:v>
                </c:pt>
                <c:pt idx="883">
                  <c:v>0.28021310353243128</c:v>
                </c:pt>
                <c:pt idx="884">
                  <c:v>0.26438312157891197</c:v>
                </c:pt>
                <c:pt idx="885">
                  <c:v>0.24840433876799847</c:v>
                </c:pt>
                <c:pt idx="886">
                  <c:v>0.23247659102187723</c:v>
                </c:pt>
                <c:pt idx="887">
                  <c:v>0.23350484301046748</c:v>
                </c:pt>
                <c:pt idx="888">
                  <c:v>0.23300221159682408</c:v>
                </c:pt>
                <c:pt idx="889">
                  <c:v>0.22779524854627106</c:v>
                </c:pt>
                <c:pt idx="890">
                  <c:v>0.22678760011061541</c:v>
                </c:pt>
                <c:pt idx="891">
                  <c:v>0.23063354149862883</c:v>
                </c:pt>
                <c:pt idx="892">
                  <c:v>0.23265148614962977</c:v>
                </c:pt>
                <c:pt idx="893">
                  <c:v>0.22865497767538404</c:v>
                </c:pt>
                <c:pt idx="894">
                  <c:v>0.23089314425159446</c:v>
                </c:pt>
                <c:pt idx="895">
                  <c:v>0.21330827767183264</c:v>
                </c:pt>
                <c:pt idx="896">
                  <c:v>0.21387732699120587</c:v>
                </c:pt>
                <c:pt idx="897">
                  <c:v>0.20813237103501261</c:v>
                </c:pt>
                <c:pt idx="898">
                  <c:v>0.20847697666615922</c:v>
                </c:pt>
                <c:pt idx="899">
                  <c:v>0.22766811954054073</c:v>
                </c:pt>
                <c:pt idx="900">
                  <c:v>0.21988272840006245</c:v>
                </c:pt>
                <c:pt idx="901">
                  <c:v>0.21673264284293933</c:v>
                </c:pt>
                <c:pt idx="902">
                  <c:v>0.2138587080174161</c:v>
                </c:pt>
                <c:pt idx="903">
                  <c:v>0.21374655638070658</c:v>
                </c:pt>
                <c:pt idx="904">
                  <c:v>0.20970961276089775</c:v>
                </c:pt>
                <c:pt idx="905">
                  <c:v>0.2110975869075068</c:v>
                </c:pt>
                <c:pt idx="906">
                  <c:v>0.20772733450549191</c:v>
                </c:pt>
                <c:pt idx="907">
                  <c:v>0.18097290636321023</c:v>
                </c:pt>
                <c:pt idx="908">
                  <c:v>0.18014175536638144</c:v>
                </c:pt>
                <c:pt idx="909">
                  <c:v>0.18041287562927569</c:v>
                </c:pt>
                <c:pt idx="910">
                  <c:v>0.14701686028562144</c:v>
                </c:pt>
                <c:pt idx="911">
                  <c:v>0.15227137459138443</c:v>
                </c:pt>
                <c:pt idx="912">
                  <c:v>0.15664459734186761</c:v>
                </c:pt>
                <c:pt idx="913">
                  <c:v>0.14206892046070299</c:v>
                </c:pt>
                <c:pt idx="914">
                  <c:v>0.13998645737747675</c:v>
                </c:pt>
                <c:pt idx="915">
                  <c:v>0.13969601207476526</c:v>
                </c:pt>
                <c:pt idx="916">
                  <c:v>0.13941334302201736</c:v>
                </c:pt>
                <c:pt idx="917">
                  <c:v>0.15036626056595581</c:v>
                </c:pt>
                <c:pt idx="918">
                  <c:v>0.14876370437350447</c:v>
                </c:pt>
                <c:pt idx="919">
                  <c:v>0.12085238629673696</c:v>
                </c:pt>
                <c:pt idx="920">
                  <c:v>0.12203179294811659</c:v>
                </c:pt>
                <c:pt idx="921">
                  <c:v>0.12205426433449458</c:v>
                </c:pt>
                <c:pt idx="922">
                  <c:v>0.12133976731521903</c:v>
                </c:pt>
                <c:pt idx="923">
                  <c:v>0.13464282383980325</c:v>
                </c:pt>
                <c:pt idx="924">
                  <c:v>0.13508226919921154</c:v>
                </c:pt>
                <c:pt idx="925">
                  <c:v>0.13468385624706034</c:v>
                </c:pt>
                <c:pt idx="926">
                  <c:v>0.13453481073311077</c:v>
                </c:pt>
                <c:pt idx="927">
                  <c:v>0.12607573197851635</c:v>
                </c:pt>
                <c:pt idx="928">
                  <c:v>0.13053137615863106</c:v>
                </c:pt>
                <c:pt idx="929">
                  <c:v>0.16144484587116797</c:v>
                </c:pt>
                <c:pt idx="930">
                  <c:v>0.1579029827846184</c:v>
                </c:pt>
                <c:pt idx="931">
                  <c:v>0.15320464180323229</c:v>
                </c:pt>
                <c:pt idx="932">
                  <c:v>0.15064725695713543</c:v>
                </c:pt>
                <c:pt idx="933">
                  <c:v>0.17674510353532707</c:v>
                </c:pt>
                <c:pt idx="934">
                  <c:v>0.18367484385839841</c:v>
                </c:pt>
                <c:pt idx="935">
                  <c:v>0.18369687160387474</c:v>
                </c:pt>
                <c:pt idx="936">
                  <c:v>0.18239643151328586</c:v>
                </c:pt>
                <c:pt idx="937">
                  <c:v>0.17417977003547908</c:v>
                </c:pt>
                <c:pt idx="938">
                  <c:v>0.17448043503133906</c:v>
                </c:pt>
                <c:pt idx="939">
                  <c:v>0.17743260101143715</c:v>
                </c:pt>
                <c:pt idx="940">
                  <c:v>0.19820263407366645</c:v>
                </c:pt>
                <c:pt idx="941">
                  <c:v>0.19955109185576742</c:v>
                </c:pt>
                <c:pt idx="942">
                  <c:v>0.20081799318350027</c:v>
                </c:pt>
                <c:pt idx="943">
                  <c:v>0.19170313917662454</c:v>
                </c:pt>
                <c:pt idx="944">
                  <c:v>0.19032431576494555</c:v>
                </c:pt>
                <c:pt idx="945">
                  <c:v>0.18950210396370981</c:v>
                </c:pt>
                <c:pt idx="946">
                  <c:v>0.18947445453595438</c:v>
                </c:pt>
                <c:pt idx="947">
                  <c:v>0.18756284245477514</c:v>
                </c:pt>
                <c:pt idx="948">
                  <c:v>0.18775660680614709</c:v>
                </c:pt>
                <c:pt idx="949">
                  <c:v>0.16184272733961313</c:v>
                </c:pt>
                <c:pt idx="950">
                  <c:v>0.16366160377743022</c:v>
                </c:pt>
                <c:pt idx="951">
                  <c:v>0.16224710606264867</c:v>
                </c:pt>
                <c:pt idx="952">
                  <c:v>0.16194281237030231</c:v>
                </c:pt>
                <c:pt idx="953">
                  <c:v>0.1357152814322955</c:v>
                </c:pt>
                <c:pt idx="954">
                  <c:v>0.12827273993828925</c:v>
                </c:pt>
                <c:pt idx="955">
                  <c:v>0.13225035791185388</c:v>
                </c:pt>
                <c:pt idx="956">
                  <c:v>0.13302785409677401</c:v>
                </c:pt>
                <c:pt idx="957">
                  <c:v>0.14589965841446176</c:v>
                </c:pt>
                <c:pt idx="958">
                  <c:v>0.14842090012774503</c:v>
                </c:pt>
                <c:pt idx="959">
                  <c:v>0.14654633509642678</c:v>
                </c:pt>
                <c:pt idx="960">
                  <c:v>0.11641892452255545</c:v>
                </c:pt>
                <c:pt idx="961">
                  <c:v>0.11960874314676825</c:v>
                </c:pt>
                <c:pt idx="962">
                  <c:v>0.18355492419245487</c:v>
                </c:pt>
                <c:pt idx="963">
                  <c:v>0.18460487712865889</c:v>
                </c:pt>
                <c:pt idx="964">
                  <c:v>0.18640021561967274</c:v>
                </c:pt>
                <c:pt idx="965">
                  <c:v>0.1879206339455553</c:v>
                </c:pt>
                <c:pt idx="966">
                  <c:v>0.19254888600765355</c:v>
                </c:pt>
                <c:pt idx="967">
                  <c:v>0.19247884807491475</c:v>
                </c:pt>
                <c:pt idx="968">
                  <c:v>0.19708203413304493</c:v>
                </c:pt>
                <c:pt idx="969">
                  <c:v>0.20215815840769638</c:v>
                </c:pt>
                <c:pt idx="970">
                  <c:v>0.20084310581228504</c:v>
                </c:pt>
                <c:pt idx="971">
                  <c:v>0.20051136599779948</c:v>
                </c:pt>
                <c:pt idx="972">
                  <c:v>0.20440073340757542</c:v>
                </c:pt>
                <c:pt idx="973">
                  <c:v>0.20840991345394827</c:v>
                </c:pt>
                <c:pt idx="974">
                  <c:v>0.2153220114945941</c:v>
                </c:pt>
                <c:pt idx="975">
                  <c:v>0.21384104061218834</c:v>
                </c:pt>
                <c:pt idx="976">
                  <c:v>0.22031958687542572</c:v>
                </c:pt>
                <c:pt idx="977">
                  <c:v>0.20845244513183225</c:v>
                </c:pt>
                <c:pt idx="978">
                  <c:v>0.20790130686217922</c:v>
                </c:pt>
                <c:pt idx="979">
                  <c:v>0.22387718205620236</c:v>
                </c:pt>
                <c:pt idx="980">
                  <c:v>0.21684577824056891</c:v>
                </c:pt>
                <c:pt idx="981">
                  <c:v>0.22702126776221926</c:v>
                </c:pt>
                <c:pt idx="982">
                  <c:v>0.18691005170927646</c:v>
                </c:pt>
                <c:pt idx="983">
                  <c:v>0.19038760806357971</c:v>
                </c:pt>
                <c:pt idx="984">
                  <c:v>0.18859974622477782</c:v>
                </c:pt>
                <c:pt idx="985">
                  <c:v>0.18842585312573701</c:v>
                </c:pt>
                <c:pt idx="986">
                  <c:v>0.20953172185725169</c:v>
                </c:pt>
                <c:pt idx="987">
                  <c:v>0.21730248117265177</c:v>
                </c:pt>
                <c:pt idx="988">
                  <c:v>0.21221295869789583</c:v>
                </c:pt>
                <c:pt idx="989">
                  <c:v>0.20679046067849224</c:v>
                </c:pt>
                <c:pt idx="990">
                  <c:v>0.20408669718316894</c:v>
                </c:pt>
                <c:pt idx="991">
                  <c:v>0.20642260231199472</c:v>
                </c:pt>
                <c:pt idx="992">
                  <c:v>0.20282390448010001</c:v>
                </c:pt>
                <c:pt idx="993">
                  <c:v>0.19936209271971414</c:v>
                </c:pt>
                <c:pt idx="994">
                  <c:v>0.18801660283230032</c:v>
                </c:pt>
                <c:pt idx="995">
                  <c:v>0.19453201092190014</c:v>
                </c:pt>
                <c:pt idx="996">
                  <c:v>0.18819348549867498</c:v>
                </c:pt>
                <c:pt idx="997">
                  <c:v>0.18789875827189154</c:v>
                </c:pt>
                <c:pt idx="998">
                  <c:v>0.18763184014665574</c:v>
                </c:pt>
                <c:pt idx="999">
                  <c:v>0.17723124772300264</c:v>
                </c:pt>
                <c:pt idx="1000">
                  <c:v>0.17421272492495266</c:v>
                </c:pt>
                <c:pt idx="1001">
                  <c:v>0.16566871669210076</c:v>
                </c:pt>
                <c:pt idx="1002">
                  <c:v>0.16499817370799552</c:v>
                </c:pt>
                <c:pt idx="1003">
                  <c:v>0.16047236988734856</c:v>
                </c:pt>
                <c:pt idx="1004">
                  <c:v>0.17723430525964554</c:v>
                </c:pt>
                <c:pt idx="1005">
                  <c:v>0.18088688466297656</c:v>
                </c:pt>
                <c:pt idx="1006">
                  <c:v>0.1542139516734439</c:v>
                </c:pt>
                <c:pt idx="1007">
                  <c:v>0.14438484337526275</c:v>
                </c:pt>
                <c:pt idx="1008">
                  <c:v>0.17358416688358769</c:v>
                </c:pt>
                <c:pt idx="1009">
                  <c:v>0.18359614420799991</c:v>
                </c:pt>
                <c:pt idx="1010">
                  <c:v>0.19750160311858461</c:v>
                </c:pt>
                <c:pt idx="1011">
                  <c:v>0.19641537381417298</c:v>
                </c:pt>
                <c:pt idx="1012">
                  <c:v>0.19717341179556966</c:v>
                </c:pt>
                <c:pt idx="1013">
                  <c:v>0.21485954065598004</c:v>
                </c:pt>
                <c:pt idx="1014">
                  <c:v>0.21616591958898781</c:v>
                </c:pt>
                <c:pt idx="1015">
                  <c:v>0.24816189207987543</c:v>
                </c:pt>
                <c:pt idx="1016">
                  <c:v>0.24018190865580688</c:v>
                </c:pt>
                <c:pt idx="1017">
                  <c:v>0.24742685023325883</c:v>
                </c:pt>
                <c:pt idx="1018">
                  <c:v>0.25067230744327046</c:v>
                </c:pt>
                <c:pt idx="1019">
                  <c:v>0.26325736707341746</c:v>
                </c:pt>
                <c:pt idx="1020">
                  <c:v>0.26448416689421045</c:v>
                </c:pt>
                <c:pt idx="1021">
                  <c:v>0.26605357863335394</c:v>
                </c:pt>
                <c:pt idx="1022">
                  <c:v>0.27425572608047954</c:v>
                </c:pt>
                <c:pt idx="1023">
                  <c:v>0.27432825322198223</c:v>
                </c:pt>
                <c:pt idx="1024">
                  <c:v>0.26989673174692086</c:v>
                </c:pt>
                <c:pt idx="1025">
                  <c:v>0.28205618910746888</c:v>
                </c:pt>
                <c:pt idx="1026">
                  <c:v>0.28104906538308777</c:v>
                </c:pt>
                <c:pt idx="1027">
                  <c:v>0.28654688099245784</c:v>
                </c:pt>
                <c:pt idx="1028">
                  <c:v>0.27140933111785959</c:v>
                </c:pt>
                <c:pt idx="1029">
                  <c:v>0.27642071082766984</c:v>
                </c:pt>
                <c:pt idx="1030">
                  <c:v>0.268290253520515</c:v>
                </c:pt>
                <c:pt idx="1031">
                  <c:v>0.27102388750802331</c:v>
                </c:pt>
                <c:pt idx="1032">
                  <c:v>0.26748297095680362</c:v>
                </c:pt>
                <c:pt idx="1033">
                  <c:v>0.31199649528649487</c:v>
                </c:pt>
                <c:pt idx="1034">
                  <c:v>0.37091063227429139</c:v>
                </c:pt>
                <c:pt idx="1035">
                  <c:v>0.3529240121779727</c:v>
                </c:pt>
                <c:pt idx="1036">
                  <c:v>0.35560683607229815</c:v>
                </c:pt>
                <c:pt idx="1037">
                  <c:v>0.57037360181561969</c:v>
                </c:pt>
                <c:pt idx="1038">
                  <c:v>0.5867363694171388</c:v>
                </c:pt>
                <c:pt idx="1039">
                  <c:v>0.58371030498075771</c:v>
                </c:pt>
                <c:pt idx="1040">
                  <c:v>0.5837685163905737</c:v>
                </c:pt>
                <c:pt idx="1041">
                  <c:v>0.58113961101589706</c:v>
                </c:pt>
                <c:pt idx="1042">
                  <c:v>0.58721042694863101</c:v>
                </c:pt>
                <c:pt idx="1043">
                  <c:v>0.58731679194722308</c:v>
                </c:pt>
                <c:pt idx="1044">
                  <c:v>0.59164012628323981</c:v>
                </c:pt>
                <c:pt idx="1045">
                  <c:v>0.59525752735355408</c:v>
                </c:pt>
                <c:pt idx="1046">
                  <c:v>0.60204475617973474</c:v>
                </c:pt>
                <c:pt idx="1047">
                  <c:v>0.60931985931336197</c:v>
                </c:pt>
                <c:pt idx="1048">
                  <c:v>0.61056938174543673</c:v>
                </c:pt>
                <c:pt idx="1049">
                  <c:v>0.60277446232082654</c:v>
                </c:pt>
                <c:pt idx="1050">
                  <c:v>0.60307847969948902</c:v>
                </c:pt>
                <c:pt idx="1051">
                  <c:v>0.60257334936505991</c:v>
                </c:pt>
                <c:pt idx="1052">
                  <c:v>0.60372351056457618</c:v>
                </c:pt>
                <c:pt idx="1053">
                  <c:v>0.56923860872937548</c:v>
                </c:pt>
                <c:pt idx="1054">
                  <c:v>0.5140927782359398</c:v>
                </c:pt>
                <c:pt idx="1055">
                  <c:v>0.51729430005143595</c:v>
                </c:pt>
                <c:pt idx="1056">
                  <c:v>0.50908682729613408</c:v>
                </c:pt>
                <c:pt idx="1057">
                  <c:v>0.29112296861916581</c:v>
                </c:pt>
                <c:pt idx="1058">
                  <c:v>0.23838057208450913</c:v>
                </c:pt>
                <c:pt idx="1059">
                  <c:v>0.26699728818994362</c:v>
                </c:pt>
                <c:pt idx="1060">
                  <c:v>0.26912773810103646</c:v>
                </c:pt>
                <c:pt idx="1061">
                  <c:v>0.26847762893670735</c:v>
                </c:pt>
                <c:pt idx="1062">
                  <c:v>0.23260008938592477</c:v>
                </c:pt>
                <c:pt idx="1063">
                  <c:v>0.23105287950192072</c:v>
                </c:pt>
                <c:pt idx="1064">
                  <c:v>0.19816387424910342</c:v>
                </c:pt>
                <c:pt idx="1065">
                  <c:v>0.19264622702589465</c:v>
                </c:pt>
                <c:pt idx="1066">
                  <c:v>0.19924852850185909</c:v>
                </c:pt>
                <c:pt idx="1067">
                  <c:v>0.18184823092465233</c:v>
                </c:pt>
                <c:pt idx="1068">
                  <c:v>0.18680609906669848</c:v>
                </c:pt>
                <c:pt idx="1069">
                  <c:v>0.19861804696879468</c:v>
                </c:pt>
                <c:pt idx="1070">
                  <c:v>0.20128242751778772</c:v>
                </c:pt>
                <c:pt idx="1071">
                  <c:v>0.20078802431615017</c:v>
                </c:pt>
                <c:pt idx="1072">
                  <c:v>0.19928047766812015</c:v>
                </c:pt>
                <c:pt idx="1073">
                  <c:v>0.19567819656792815</c:v>
                </c:pt>
                <c:pt idx="1074">
                  <c:v>0.19297857005922564</c:v>
                </c:pt>
                <c:pt idx="1075">
                  <c:v>0.18645201120230925</c:v>
                </c:pt>
                <c:pt idx="1076">
                  <c:v>0.19150106639950829</c:v>
                </c:pt>
                <c:pt idx="1077">
                  <c:v>0.19127756203156585</c:v>
                </c:pt>
                <c:pt idx="1078">
                  <c:v>0.19071444077355587</c:v>
                </c:pt>
                <c:pt idx="1079">
                  <c:v>0.13429336757645549</c:v>
                </c:pt>
                <c:pt idx="1080">
                  <c:v>0.12705183124599476</c:v>
                </c:pt>
                <c:pt idx="1081">
                  <c:v>0.12604898017101823</c:v>
                </c:pt>
                <c:pt idx="1082">
                  <c:v>0.13552138415301751</c:v>
                </c:pt>
                <c:pt idx="1083">
                  <c:v>0.14291541743869085</c:v>
                </c:pt>
                <c:pt idx="1084">
                  <c:v>0.14816450604326228</c:v>
                </c:pt>
                <c:pt idx="1085">
                  <c:v>0.1474421526833779</c:v>
                </c:pt>
                <c:pt idx="1086">
                  <c:v>0.13823193484935109</c:v>
                </c:pt>
                <c:pt idx="1087">
                  <c:v>0.14097368399791266</c:v>
                </c:pt>
                <c:pt idx="1088">
                  <c:v>0.14252443273194113</c:v>
                </c:pt>
                <c:pt idx="1089">
                  <c:v>0.12004718508635202</c:v>
                </c:pt>
                <c:pt idx="1090">
                  <c:v>0.12036441202359445</c:v>
                </c:pt>
                <c:pt idx="1091">
                  <c:v>0.12037453424875642</c:v>
                </c:pt>
                <c:pt idx="1092">
                  <c:v>0.12000174203573005</c:v>
                </c:pt>
                <c:pt idx="1093">
                  <c:v>0.12517445373940486</c:v>
                </c:pt>
                <c:pt idx="1094">
                  <c:v>0.12470806936061371</c:v>
                </c:pt>
                <c:pt idx="1095">
                  <c:v>0.12761875514187107</c:v>
                </c:pt>
                <c:pt idx="1096">
                  <c:v>0.12762514222302776</c:v>
                </c:pt>
                <c:pt idx="1097">
                  <c:v>0.12488135880797388</c:v>
                </c:pt>
                <c:pt idx="1098">
                  <c:v>0.12608553691275265</c:v>
                </c:pt>
                <c:pt idx="1099">
                  <c:v>0.12574168795854054</c:v>
                </c:pt>
                <c:pt idx="1100">
                  <c:v>0.12517157654396102</c:v>
                </c:pt>
                <c:pt idx="1101">
                  <c:v>0.1252959624974366</c:v>
                </c:pt>
                <c:pt idx="1102">
                  <c:v>0.11290912120908121</c:v>
                </c:pt>
                <c:pt idx="1103">
                  <c:v>0.10504490176120553</c:v>
                </c:pt>
                <c:pt idx="1104">
                  <c:v>9.7069023801323165E-2</c:v>
                </c:pt>
                <c:pt idx="1105">
                  <c:v>9.7453975285046929E-2</c:v>
                </c:pt>
                <c:pt idx="1106">
                  <c:v>9.4033831493873926E-2</c:v>
                </c:pt>
                <c:pt idx="1107">
                  <c:v>9.6233842608830472E-2</c:v>
                </c:pt>
                <c:pt idx="1108">
                  <c:v>8.4475587289100776E-2</c:v>
                </c:pt>
                <c:pt idx="1109">
                  <c:v>8.4464856738229788E-2</c:v>
                </c:pt>
                <c:pt idx="1110">
                  <c:v>8.0122959672850408E-2</c:v>
                </c:pt>
                <c:pt idx="1111">
                  <c:v>8.0050977574422352E-2</c:v>
                </c:pt>
                <c:pt idx="1112">
                  <c:v>7.8906369103667037E-2</c:v>
                </c:pt>
                <c:pt idx="1113">
                  <c:v>6.9851552982471823E-2</c:v>
                </c:pt>
                <c:pt idx="1114">
                  <c:v>7.1593880623764136E-2</c:v>
                </c:pt>
                <c:pt idx="1115">
                  <c:v>9.7033765715978229E-2</c:v>
                </c:pt>
                <c:pt idx="1116">
                  <c:v>0.1134184309050013</c:v>
                </c:pt>
                <c:pt idx="1117">
                  <c:v>0.11683690908223641</c:v>
                </c:pt>
                <c:pt idx="1118">
                  <c:v>0.12230420380564953</c:v>
                </c:pt>
                <c:pt idx="1119">
                  <c:v>0.12221972436062521</c:v>
                </c:pt>
                <c:pt idx="1120">
                  <c:v>0.12470042419236396</c:v>
                </c:pt>
                <c:pt idx="1121">
                  <c:v>0.12563232509967173</c:v>
                </c:pt>
                <c:pt idx="1122">
                  <c:v>0.13157670317941556</c:v>
                </c:pt>
                <c:pt idx="1123">
                  <c:v>0.13164598955755427</c:v>
                </c:pt>
                <c:pt idx="1124">
                  <c:v>0.13001044728622882</c:v>
                </c:pt>
                <c:pt idx="1125">
                  <c:v>0.13147835883378634</c:v>
                </c:pt>
                <c:pt idx="1126">
                  <c:v>0.13086481046412018</c:v>
                </c:pt>
                <c:pt idx="1127">
                  <c:v>0.13937291938822099</c:v>
                </c:pt>
                <c:pt idx="1128">
                  <c:v>0.14053971371039167</c:v>
                </c:pt>
                <c:pt idx="1129">
                  <c:v>0.1413689521138089</c:v>
                </c:pt>
                <c:pt idx="1130">
                  <c:v>0.15163306383047653</c:v>
                </c:pt>
                <c:pt idx="1131">
                  <c:v>0.15177226621963522</c:v>
                </c:pt>
                <c:pt idx="1132">
                  <c:v>0.15218947986283857</c:v>
                </c:pt>
                <c:pt idx="1133">
                  <c:v>0.15220528274979456</c:v>
                </c:pt>
                <c:pt idx="1134">
                  <c:v>0.15187100069055828</c:v>
                </c:pt>
                <c:pt idx="1135">
                  <c:v>0.13933532290224873</c:v>
                </c:pt>
                <c:pt idx="1136">
                  <c:v>0.12816135779772378</c:v>
                </c:pt>
                <c:pt idx="1137">
                  <c:v>0.12817206009147916</c:v>
                </c:pt>
                <c:pt idx="1138">
                  <c:v>0.12446107608029185</c:v>
                </c:pt>
                <c:pt idx="1139">
                  <c:v>0.12410048153825906</c:v>
                </c:pt>
                <c:pt idx="1140">
                  <c:v>0.12092569055378471</c:v>
                </c:pt>
                <c:pt idx="1141">
                  <c:v>0.12053767714120657</c:v>
                </c:pt>
                <c:pt idx="1142">
                  <c:v>0.1120748768119374</c:v>
                </c:pt>
                <c:pt idx="1143">
                  <c:v>0.11391569840573126</c:v>
                </c:pt>
                <c:pt idx="1144">
                  <c:v>0.1147261951434615</c:v>
                </c:pt>
                <c:pt idx="1145">
                  <c:v>0.1164365532349169</c:v>
                </c:pt>
                <c:pt idx="1146">
                  <c:v>0.11653133449389599</c:v>
                </c:pt>
                <c:pt idx="1147">
                  <c:v>0.10355840762746339</c:v>
                </c:pt>
                <c:pt idx="1148">
                  <c:v>0.1023188268163655</c:v>
                </c:pt>
                <c:pt idx="1149">
                  <c:v>9.9665830399438993E-2</c:v>
                </c:pt>
                <c:pt idx="1150">
                  <c:v>8.880400364288081E-2</c:v>
                </c:pt>
                <c:pt idx="1151">
                  <c:v>9.2790504100234497E-2</c:v>
                </c:pt>
                <c:pt idx="1152">
                  <c:v>9.488069310975969E-2</c:v>
                </c:pt>
                <c:pt idx="1153">
                  <c:v>9.7517495830495238E-2</c:v>
                </c:pt>
                <c:pt idx="1154">
                  <c:v>9.6488417886770705E-2</c:v>
                </c:pt>
                <c:pt idx="1155">
                  <c:v>8.3322695253206305E-2</c:v>
                </c:pt>
                <c:pt idx="1156">
                  <c:v>7.2864208472865469E-2</c:v>
                </c:pt>
                <c:pt idx="1157">
                  <c:v>7.0930821405850664E-2</c:v>
                </c:pt>
                <c:pt idx="1158">
                  <c:v>6.72678708553789E-2</c:v>
                </c:pt>
                <c:pt idx="1159">
                  <c:v>7.1416649704294774E-2</c:v>
                </c:pt>
                <c:pt idx="1160">
                  <c:v>7.3258255992916063E-2</c:v>
                </c:pt>
                <c:pt idx="1161">
                  <c:v>7.8164112077600587E-2</c:v>
                </c:pt>
                <c:pt idx="1162">
                  <c:v>8.4655887696218846E-2</c:v>
                </c:pt>
                <c:pt idx="1163">
                  <c:v>8.4782493257123837E-2</c:v>
                </c:pt>
                <c:pt idx="1164">
                  <c:v>0.15564927768706355</c:v>
                </c:pt>
                <c:pt idx="1165">
                  <c:v>0.17036877993418831</c:v>
                </c:pt>
                <c:pt idx="1166">
                  <c:v>0.1724070476945837</c:v>
                </c:pt>
                <c:pt idx="1167">
                  <c:v>0.17356885210971795</c:v>
                </c:pt>
                <c:pt idx="1168">
                  <c:v>0.17171992057284427</c:v>
                </c:pt>
                <c:pt idx="1169">
                  <c:v>0.17162241796861183</c:v>
                </c:pt>
                <c:pt idx="1170">
                  <c:v>0.17643288272071062</c:v>
                </c:pt>
                <c:pt idx="1171">
                  <c:v>0.17428991573493857</c:v>
                </c:pt>
                <c:pt idx="1172">
                  <c:v>0.17778113653126915</c:v>
                </c:pt>
                <c:pt idx="1173">
                  <c:v>0.17862136872923431</c:v>
                </c:pt>
                <c:pt idx="1174">
                  <c:v>0.1814049635353665</c:v>
                </c:pt>
                <c:pt idx="1175">
                  <c:v>0.18995622761537861</c:v>
                </c:pt>
                <c:pt idx="1176">
                  <c:v>0.19086172390941844</c:v>
                </c:pt>
                <c:pt idx="1177">
                  <c:v>0.19082197436819387</c:v>
                </c:pt>
                <c:pt idx="1178">
                  <c:v>0.20106656020905561</c:v>
                </c:pt>
                <c:pt idx="1179">
                  <c:v>0.20008287578017611</c:v>
                </c:pt>
                <c:pt idx="1180">
                  <c:v>0.19935239450428199</c:v>
                </c:pt>
                <c:pt idx="1181">
                  <c:v>0.21331463630371705</c:v>
                </c:pt>
                <c:pt idx="1182">
                  <c:v>0.21089179830276908</c:v>
                </c:pt>
                <c:pt idx="1183">
                  <c:v>0.22212392881179405</c:v>
                </c:pt>
                <c:pt idx="1184">
                  <c:v>0.18078314607000484</c:v>
                </c:pt>
                <c:pt idx="1185">
                  <c:v>0.18209639211433282</c:v>
                </c:pt>
                <c:pt idx="1186">
                  <c:v>0.18017673598224704</c:v>
                </c:pt>
                <c:pt idx="1187">
                  <c:v>0.17940449203354364</c:v>
                </c:pt>
                <c:pt idx="1188">
                  <c:v>0.19508502841450087</c:v>
                </c:pt>
                <c:pt idx="1189">
                  <c:v>0.19388092800055098</c:v>
                </c:pt>
                <c:pt idx="1190">
                  <c:v>0.1908474467436323</c:v>
                </c:pt>
                <c:pt idx="1191">
                  <c:v>0.1952199092830095</c:v>
                </c:pt>
                <c:pt idx="1192">
                  <c:v>0.1941069245364109</c:v>
                </c:pt>
                <c:pt idx="1193">
                  <c:v>0.20773489987393548</c:v>
                </c:pt>
                <c:pt idx="1194">
                  <c:v>0.20546415741054833</c:v>
                </c:pt>
                <c:pt idx="1195">
                  <c:v>0.21699585248259806</c:v>
                </c:pt>
                <c:pt idx="1196">
                  <c:v>0.2161795152263121</c:v>
                </c:pt>
                <c:pt idx="1197">
                  <c:v>0.21840272259402282</c:v>
                </c:pt>
                <c:pt idx="1198">
                  <c:v>0.21475361621893582</c:v>
                </c:pt>
                <c:pt idx="1199">
                  <c:v>0.21404699862785045</c:v>
                </c:pt>
                <c:pt idx="1200">
                  <c:v>0.215380312850349</c:v>
                </c:pt>
                <c:pt idx="1201">
                  <c:v>0.20271217531947494</c:v>
                </c:pt>
                <c:pt idx="1202">
                  <c:v>0.20146558618912894</c:v>
                </c:pt>
                <c:pt idx="1203">
                  <c:v>0.1893023598468489</c:v>
                </c:pt>
                <c:pt idx="1204">
                  <c:v>0.18897693352051986</c:v>
                </c:pt>
                <c:pt idx="1205">
                  <c:v>0.17216751713071929</c:v>
                </c:pt>
                <c:pt idx="1206">
                  <c:v>0.17234722158723123</c:v>
                </c:pt>
                <c:pt idx="1207">
                  <c:v>0.1728153221077692</c:v>
                </c:pt>
                <c:pt idx="1208">
                  <c:v>0.17078978747891524</c:v>
                </c:pt>
                <c:pt idx="1209">
                  <c:v>0.17189385959150669</c:v>
                </c:pt>
                <c:pt idx="1210">
                  <c:v>0.16883339215161014</c:v>
                </c:pt>
                <c:pt idx="1211">
                  <c:v>0.17660849290987521</c:v>
                </c:pt>
                <c:pt idx="1212">
                  <c:v>0.18265734814217063</c:v>
                </c:pt>
                <c:pt idx="1213">
                  <c:v>0.16274501690529963</c:v>
                </c:pt>
                <c:pt idx="1214">
                  <c:v>0.1617795216953587</c:v>
                </c:pt>
                <c:pt idx="1215">
                  <c:v>0.13734856816243693</c:v>
                </c:pt>
                <c:pt idx="1216">
                  <c:v>0.13634186303466855</c:v>
                </c:pt>
                <c:pt idx="1217">
                  <c:v>0.13340794045491161</c:v>
                </c:pt>
                <c:pt idx="1218">
                  <c:v>0.13192449035131337</c:v>
                </c:pt>
                <c:pt idx="1219">
                  <c:v>0.13160756729147652</c:v>
                </c:pt>
                <c:pt idx="1220">
                  <c:v>0.13166119833990522</c:v>
                </c:pt>
                <c:pt idx="1221">
                  <c:v>0.13124046274482085</c:v>
                </c:pt>
                <c:pt idx="1222">
                  <c:v>0.13486049186148391</c:v>
                </c:pt>
                <c:pt idx="1223">
                  <c:v>0.13791889414941713</c:v>
                </c:pt>
                <c:pt idx="1224">
                  <c:v>0.13780217344531853</c:v>
                </c:pt>
                <c:pt idx="1225">
                  <c:v>0.13917435781514334</c:v>
                </c:pt>
                <c:pt idx="1226">
                  <c:v>0.14314846517696578</c:v>
                </c:pt>
                <c:pt idx="1227">
                  <c:v>0.1426708725541698</c:v>
                </c:pt>
                <c:pt idx="1228">
                  <c:v>0.12350191619349908</c:v>
                </c:pt>
                <c:pt idx="1229">
                  <c:v>0.12871766830133916</c:v>
                </c:pt>
                <c:pt idx="1230">
                  <c:v>0.12904828108715941</c:v>
                </c:pt>
                <c:pt idx="1231">
                  <c:v>0.10724163524689473</c:v>
                </c:pt>
                <c:pt idx="1232">
                  <c:v>0.12448498855123596</c:v>
                </c:pt>
                <c:pt idx="1233">
                  <c:v>0.12516864731012581</c:v>
                </c:pt>
                <c:pt idx="1234">
                  <c:v>0.12727690436464076</c:v>
                </c:pt>
                <c:pt idx="1235">
                  <c:v>0.12667073811721552</c:v>
                </c:pt>
                <c:pt idx="1236">
                  <c:v>0.12721711771163602</c:v>
                </c:pt>
                <c:pt idx="1237">
                  <c:v>0.13107922561100863</c:v>
                </c:pt>
                <c:pt idx="1238">
                  <c:v>0.12977114029309078</c:v>
                </c:pt>
                <c:pt idx="1239">
                  <c:v>0.13165993346939989</c:v>
                </c:pt>
                <c:pt idx="1240">
                  <c:v>0.13570216975555602</c:v>
                </c:pt>
                <c:pt idx="1241">
                  <c:v>0.13707018396041087</c:v>
                </c:pt>
                <c:pt idx="1242">
                  <c:v>0.1462665641801342</c:v>
                </c:pt>
                <c:pt idx="1243">
                  <c:v>0.15461420521572192</c:v>
                </c:pt>
                <c:pt idx="1244">
                  <c:v>0.16099230769482301</c:v>
                </c:pt>
                <c:pt idx="1245">
                  <c:v>0.1802074434244948</c:v>
                </c:pt>
                <c:pt idx="1246">
                  <c:v>0.17856031769229988</c:v>
                </c:pt>
                <c:pt idx="1247">
                  <c:v>0.17889924888132783</c:v>
                </c:pt>
                <c:pt idx="1248">
                  <c:v>0.17942396351143136</c:v>
                </c:pt>
                <c:pt idx="1249">
                  <c:v>0.18933685683001661</c:v>
                </c:pt>
                <c:pt idx="1250">
                  <c:v>0.18888551289280114</c:v>
                </c:pt>
                <c:pt idx="1251">
                  <c:v>0.18887699719705245</c:v>
                </c:pt>
                <c:pt idx="1252">
                  <c:v>0.17626972981354688</c:v>
                </c:pt>
                <c:pt idx="1253">
                  <c:v>0.16906542812270273</c:v>
                </c:pt>
                <c:pt idx="1254">
                  <c:v>0.17017879662977226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B-4325-BF23-3BBFB16C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29792"/>
        <c:axId val="150547072"/>
      </c:lineChart>
      <c:dateAx>
        <c:axId val="150529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47072"/>
        <c:crosses val="autoZero"/>
        <c:auto val="1"/>
        <c:lblOffset val="100"/>
        <c:baseTimeUnit val="days"/>
      </c:dateAx>
      <c:valAx>
        <c:axId val="15054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6</xdr:row>
      <xdr:rowOff>171450</xdr:rowOff>
    </xdr:from>
    <xdr:to>
      <xdr:col>17</xdr:col>
      <xdr:colOff>95250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2D254-66C2-44DD-BBC6-893659347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157315</xdr:colOff>
      <xdr:row>7</xdr:row>
      <xdr:rowOff>47623</xdr:rowOff>
    </xdr:from>
    <xdr:to>
      <xdr:col>40</xdr:col>
      <xdr:colOff>104774</xdr:colOff>
      <xdr:row>48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DFE858-596F-4D2E-871E-9D82EFA9A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260449</xdr:colOff>
      <xdr:row>51</xdr:row>
      <xdr:rowOff>171152</xdr:rowOff>
    </xdr:from>
    <xdr:to>
      <xdr:col>17</xdr:col>
      <xdr:colOff>119061</xdr:colOff>
      <xdr:row>77</xdr:row>
      <xdr:rowOff>74413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AFFE0-54F5-4AE2-B50A-6AD2CF1B4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EC8FF-BBE7-4A00-B6B8-8852AC781B8A}" name="tblQQQ" displayName="tblQQQ" ref="A1:F1256" totalsRowShown="0">
  <autoFilter ref="A1:F1256" xr:uid="{322EC8FF-BBE7-4A00-B6B8-8852AC781B8A}"/>
  <sortState xmlns:xlrd2="http://schemas.microsoft.com/office/spreadsheetml/2017/richdata2" ref="A2:F1256">
    <sortCondition ref="A1:A1256"/>
  </sortState>
  <tableColumns count="6">
    <tableColumn id="1" xr3:uid="{E8AA2104-68A5-4775-A4C5-C1508F863EAF}" name="Date" dataDxfId="0"/>
    <tableColumn id="2" xr3:uid="{5255EE6A-A942-4F27-B595-1154E04D14C9}" name="Close/Last"/>
    <tableColumn id="3" xr3:uid="{EA66F735-B269-44DA-BE35-20F10D67BEA6}" name="Volume"/>
    <tableColumn id="4" xr3:uid="{FBC8DAB9-727D-4D09-B2C9-0D0142E7B8B5}" name="Open"/>
    <tableColumn id="5" xr3:uid="{6F10132B-8FEF-4BE9-8C68-3354E42D1824}" name="High"/>
    <tableColumn id="6" xr3:uid="{8F72ABA4-85AA-44D9-9539-A59998E12D11}" name="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FA06-206B-4CBF-979A-F2891E8F8063}">
  <dimension ref="A1:F1256"/>
  <sheetViews>
    <sheetView workbookViewId="0">
      <selection activeCell="C12" sqref="C12"/>
    </sheetView>
  </sheetViews>
  <sheetFormatPr defaultRowHeight="14.25" x14ac:dyDescent="0.45"/>
  <cols>
    <col min="1" max="1" width="12.796875" customWidth="1"/>
    <col min="2" max="2" width="14.86328125" customWidth="1"/>
    <col min="3" max="3" width="16" customWidth="1"/>
    <col min="4" max="4" width="15.59765625" customWidth="1"/>
    <col min="5" max="5" width="15.19921875" customWidth="1"/>
    <col min="6" max="6" width="16.597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44250</v>
      </c>
      <c r="B2">
        <v>321.48</v>
      </c>
      <c r="C2">
        <v>97241940</v>
      </c>
      <c r="D2">
        <v>317</v>
      </c>
      <c r="E2">
        <v>323.2</v>
      </c>
      <c r="F2">
        <v>311</v>
      </c>
    </row>
    <row r="3" spans="1:6" x14ac:dyDescent="0.45">
      <c r="A3" s="1">
        <v>44251</v>
      </c>
      <c r="B3">
        <v>324.13</v>
      </c>
      <c r="C3">
        <v>58206270</v>
      </c>
      <c r="D3">
        <v>318.74</v>
      </c>
      <c r="E3">
        <v>324.45</v>
      </c>
      <c r="F3">
        <v>315.95999999999998</v>
      </c>
    </row>
    <row r="4" spans="1:6" x14ac:dyDescent="0.45">
      <c r="A4" s="1">
        <v>44252</v>
      </c>
      <c r="B4">
        <v>312.83</v>
      </c>
      <c r="C4">
        <v>110182600</v>
      </c>
      <c r="D4">
        <v>321.39</v>
      </c>
      <c r="E4">
        <v>324.02999999999997</v>
      </c>
      <c r="F4">
        <v>311.24</v>
      </c>
    </row>
    <row r="5" spans="1:6" x14ac:dyDescent="0.45">
      <c r="A5" s="1">
        <v>44253</v>
      </c>
      <c r="B5">
        <v>314.14</v>
      </c>
      <c r="C5">
        <v>104739800</v>
      </c>
      <c r="D5">
        <v>315.85000000000002</v>
      </c>
      <c r="E5">
        <v>319.11</v>
      </c>
      <c r="F5">
        <v>310.88</v>
      </c>
    </row>
    <row r="6" spans="1:6" x14ac:dyDescent="0.45">
      <c r="A6" s="1">
        <v>44256</v>
      </c>
      <c r="B6">
        <v>323.58999999999997</v>
      </c>
      <c r="C6">
        <v>49164520</v>
      </c>
      <c r="D6">
        <v>319.27</v>
      </c>
      <c r="E6">
        <v>323.94</v>
      </c>
      <c r="F6">
        <v>317.935</v>
      </c>
    </row>
    <row r="7" spans="1:6" x14ac:dyDescent="0.45">
      <c r="A7" s="1">
        <v>44257</v>
      </c>
      <c r="B7">
        <v>318.39999999999998</v>
      </c>
      <c r="C7">
        <v>48370030</v>
      </c>
      <c r="D7">
        <v>324.25</v>
      </c>
      <c r="E7">
        <v>324.33</v>
      </c>
      <c r="F7">
        <v>318.14</v>
      </c>
    </row>
    <row r="8" spans="1:6" x14ac:dyDescent="0.45">
      <c r="A8" s="1">
        <v>44258</v>
      </c>
      <c r="B8">
        <v>309.16000000000003</v>
      </c>
      <c r="C8">
        <v>86301070</v>
      </c>
      <c r="D8">
        <v>317.27</v>
      </c>
      <c r="E8">
        <v>318.24</v>
      </c>
      <c r="F8">
        <v>309.10000000000002</v>
      </c>
    </row>
    <row r="9" spans="1:6" x14ac:dyDescent="0.45">
      <c r="A9" s="1">
        <v>44259</v>
      </c>
      <c r="B9">
        <v>304.10000000000002</v>
      </c>
      <c r="C9">
        <v>139131600</v>
      </c>
      <c r="D9">
        <v>308.77999999999997</v>
      </c>
      <c r="E9">
        <v>312.04000000000002</v>
      </c>
      <c r="F9">
        <v>300.11</v>
      </c>
    </row>
    <row r="10" spans="1:6" x14ac:dyDescent="0.45">
      <c r="A10" s="1">
        <v>44260</v>
      </c>
      <c r="B10">
        <v>308.68</v>
      </c>
      <c r="C10">
        <v>121523700</v>
      </c>
      <c r="D10">
        <v>306.79500000000002</v>
      </c>
      <c r="E10">
        <v>309.60899999999998</v>
      </c>
      <c r="F10">
        <v>297.45</v>
      </c>
    </row>
    <row r="11" spans="1:6" x14ac:dyDescent="0.45">
      <c r="A11" s="1">
        <v>44263</v>
      </c>
      <c r="B11">
        <v>299.94</v>
      </c>
      <c r="C11">
        <v>88409780</v>
      </c>
      <c r="D11">
        <v>308.12</v>
      </c>
      <c r="E11">
        <v>310.06</v>
      </c>
      <c r="F11">
        <v>299.51</v>
      </c>
    </row>
    <row r="12" spans="1:6" x14ac:dyDescent="0.45">
      <c r="A12" s="1">
        <v>44264</v>
      </c>
      <c r="B12">
        <v>311.77</v>
      </c>
      <c r="C12">
        <v>80391110</v>
      </c>
      <c r="D12">
        <v>307.47000000000003</v>
      </c>
      <c r="E12">
        <v>313.73</v>
      </c>
      <c r="F12">
        <v>306.92</v>
      </c>
    </row>
    <row r="13" spans="1:6" x14ac:dyDescent="0.45">
      <c r="A13" s="1">
        <v>44265</v>
      </c>
      <c r="B13">
        <v>310.88</v>
      </c>
      <c r="C13">
        <v>76798070</v>
      </c>
      <c r="D13">
        <v>316.16000000000003</v>
      </c>
      <c r="E13">
        <v>316.47000000000003</v>
      </c>
      <c r="F13">
        <v>310.17</v>
      </c>
    </row>
    <row r="14" spans="1:6" x14ac:dyDescent="0.45">
      <c r="A14" s="1">
        <v>44266</v>
      </c>
      <c r="B14">
        <v>318.04000000000002</v>
      </c>
      <c r="C14">
        <v>53484800</v>
      </c>
      <c r="D14">
        <v>315.77</v>
      </c>
      <c r="E14">
        <v>319.86</v>
      </c>
      <c r="F14">
        <v>314.85000000000002</v>
      </c>
    </row>
    <row r="15" spans="1:6" x14ac:dyDescent="0.45">
      <c r="A15" s="1">
        <v>44267</v>
      </c>
      <c r="B15">
        <v>315.45999999999998</v>
      </c>
      <c r="C15">
        <v>69315600</v>
      </c>
      <c r="D15">
        <v>313.86</v>
      </c>
      <c r="E15">
        <v>318.23020000000002</v>
      </c>
      <c r="F15">
        <v>311.39100000000002</v>
      </c>
    </row>
    <row r="16" spans="1:6" x14ac:dyDescent="0.45">
      <c r="A16" s="1">
        <v>44270</v>
      </c>
      <c r="B16">
        <v>318.83</v>
      </c>
      <c r="C16">
        <v>43123180</v>
      </c>
      <c r="D16">
        <v>315.79000000000002</v>
      </c>
      <c r="E16">
        <v>319</v>
      </c>
      <c r="F16">
        <v>314.09500000000003</v>
      </c>
    </row>
    <row r="17" spans="1:6" x14ac:dyDescent="0.45">
      <c r="A17" s="1">
        <v>44271</v>
      </c>
      <c r="B17">
        <v>320.58</v>
      </c>
      <c r="C17">
        <v>54925900</v>
      </c>
      <c r="D17">
        <v>321.08999999999997</v>
      </c>
      <c r="E17">
        <v>324.2</v>
      </c>
      <c r="F17">
        <v>319.10000000000002</v>
      </c>
    </row>
    <row r="18" spans="1:6" x14ac:dyDescent="0.45">
      <c r="A18" s="1">
        <v>44272</v>
      </c>
      <c r="B18">
        <v>321.89999999999998</v>
      </c>
      <c r="C18">
        <v>78258730</v>
      </c>
      <c r="D18">
        <v>317.45</v>
      </c>
      <c r="E18">
        <v>323.85000000000002</v>
      </c>
      <c r="F18">
        <v>315.68</v>
      </c>
    </row>
    <row r="19" spans="1:6" x14ac:dyDescent="0.45">
      <c r="A19" s="1">
        <v>44273</v>
      </c>
      <c r="B19">
        <v>312.04000000000002</v>
      </c>
      <c r="C19">
        <v>82942270</v>
      </c>
      <c r="D19">
        <v>316.87</v>
      </c>
      <c r="E19">
        <v>317.88010000000003</v>
      </c>
      <c r="F19">
        <v>311.57</v>
      </c>
    </row>
    <row r="20" spans="1:6" x14ac:dyDescent="0.45">
      <c r="A20" s="1">
        <v>44274</v>
      </c>
      <c r="B20">
        <v>313.14</v>
      </c>
      <c r="C20">
        <v>78446200</v>
      </c>
      <c r="D20">
        <v>311.87</v>
      </c>
      <c r="E20">
        <v>314.73</v>
      </c>
      <c r="F20">
        <v>309.6601</v>
      </c>
    </row>
    <row r="21" spans="1:6" x14ac:dyDescent="0.45">
      <c r="A21" s="1">
        <v>44277</v>
      </c>
      <c r="B21">
        <v>318.61</v>
      </c>
      <c r="C21">
        <v>56194760</v>
      </c>
      <c r="D21">
        <v>315.20999999999998</v>
      </c>
      <c r="E21">
        <v>320.74</v>
      </c>
      <c r="F21">
        <v>315.20999999999998</v>
      </c>
    </row>
    <row r="22" spans="1:6" x14ac:dyDescent="0.45">
      <c r="A22" s="1">
        <v>44278</v>
      </c>
      <c r="B22">
        <v>317.22000000000003</v>
      </c>
      <c r="C22">
        <v>53455410</v>
      </c>
      <c r="D22">
        <v>319.73</v>
      </c>
      <c r="E22">
        <v>321.08999999999997</v>
      </c>
      <c r="F22">
        <v>316.375</v>
      </c>
    </row>
    <row r="23" spans="1:6" x14ac:dyDescent="0.45">
      <c r="A23" s="1">
        <v>44279</v>
      </c>
      <c r="B23">
        <v>311.87</v>
      </c>
      <c r="C23">
        <v>64803730</v>
      </c>
      <c r="D23">
        <v>318.63</v>
      </c>
      <c r="E23">
        <v>318.67</v>
      </c>
      <c r="F23">
        <v>311.72000000000003</v>
      </c>
    </row>
    <row r="24" spans="1:6" x14ac:dyDescent="0.45">
      <c r="A24" s="1">
        <v>44280</v>
      </c>
      <c r="B24">
        <v>311.33</v>
      </c>
      <c r="C24">
        <v>78729010</v>
      </c>
      <c r="D24">
        <v>309.96800000000002</v>
      </c>
      <c r="E24">
        <v>312.88499999999999</v>
      </c>
      <c r="F24">
        <v>307.38990000000001</v>
      </c>
    </row>
    <row r="25" spans="1:6" x14ac:dyDescent="0.45">
      <c r="A25" s="1">
        <v>44281</v>
      </c>
      <c r="B25">
        <v>316</v>
      </c>
      <c r="C25">
        <v>63519630</v>
      </c>
      <c r="D25">
        <v>311.11</v>
      </c>
      <c r="E25">
        <v>316.33</v>
      </c>
      <c r="F25">
        <v>309.67</v>
      </c>
    </row>
    <row r="26" spans="1:6" x14ac:dyDescent="0.45">
      <c r="A26" s="1">
        <v>44284</v>
      </c>
      <c r="B26">
        <v>315.91000000000003</v>
      </c>
      <c r="C26">
        <v>54607960</v>
      </c>
      <c r="D26">
        <v>315.45</v>
      </c>
      <c r="E26">
        <v>316.99</v>
      </c>
      <c r="F26">
        <v>312.47000000000003</v>
      </c>
    </row>
    <row r="27" spans="1:6" x14ac:dyDescent="0.45">
      <c r="A27" s="1">
        <v>44285</v>
      </c>
      <c r="B27">
        <v>314.32</v>
      </c>
      <c r="C27">
        <v>44635680</v>
      </c>
      <c r="D27">
        <v>313.89</v>
      </c>
      <c r="E27">
        <v>314.91000000000003</v>
      </c>
      <c r="F27">
        <v>311.54000000000002</v>
      </c>
    </row>
    <row r="28" spans="1:6" x14ac:dyDescent="0.45">
      <c r="A28" s="1">
        <v>44286</v>
      </c>
      <c r="B28">
        <v>319.13</v>
      </c>
      <c r="C28">
        <v>55032540</v>
      </c>
      <c r="D28">
        <v>316.16000000000003</v>
      </c>
      <c r="E28">
        <v>320.74</v>
      </c>
      <c r="F28">
        <v>315.81</v>
      </c>
    </row>
    <row r="29" spans="1:6" x14ac:dyDescent="0.45">
      <c r="A29" s="1">
        <v>44287</v>
      </c>
      <c r="B29">
        <v>324.57</v>
      </c>
      <c r="C29">
        <v>55685600</v>
      </c>
      <c r="D29">
        <v>323.07</v>
      </c>
      <c r="E29">
        <v>324.70999999999998</v>
      </c>
      <c r="F29">
        <v>322.81</v>
      </c>
    </row>
    <row r="30" spans="1:6" x14ac:dyDescent="0.45">
      <c r="A30" s="1">
        <v>44291</v>
      </c>
      <c r="B30">
        <v>331.05</v>
      </c>
      <c r="C30">
        <v>42172480</v>
      </c>
      <c r="D30">
        <v>327.13</v>
      </c>
      <c r="E30">
        <v>331.84</v>
      </c>
      <c r="F30">
        <v>324.63749999999999</v>
      </c>
    </row>
    <row r="31" spans="1:6" x14ac:dyDescent="0.45">
      <c r="A31" s="1">
        <v>44292</v>
      </c>
      <c r="B31">
        <v>330.82</v>
      </c>
      <c r="C31">
        <v>33537210</v>
      </c>
      <c r="D31">
        <v>330.73</v>
      </c>
      <c r="E31">
        <v>332.83</v>
      </c>
      <c r="F31">
        <v>330.02</v>
      </c>
    </row>
    <row r="32" spans="1:6" x14ac:dyDescent="0.45">
      <c r="A32" s="1">
        <v>44293</v>
      </c>
      <c r="B32">
        <v>331.62</v>
      </c>
      <c r="C32">
        <v>32046380</v>
      </c>
      <c r="D32">
        <v>330.33</v>
      </c>
      <c r="E32">
        <v>332.48</v>
      </c>
      <c r="F32">
        <v>329.37</v>
      </c>
    </row>
    <row r="33" spans="1:6" x14ac:dyDescent="0.45">
      <c r="A33" s="1">
        <v>44294</v>
      </c>
      <c r="B33">
        <v>335.08</v>
      </c>
      <c r="C33">
        <v>29940800</v>
      </c>
      <c r="D33">
        <v>334.56</v>
      </c>
      <c r="E33">
        <v>335.27</v>
      </c>
      <c r="F33">
        <v>333.73989999999998</v>
      </c>
    </row>
    <row r="34" spans="1:6" x14ac:dyDescent="0.45">
      <c r="A34" s="1">
        <v>44295</v>
      </c>
      <c r="B34">
        <v>337.11</v>
      </c>
      <c r="C34">
        <v>36664890</v>
      </c>
      <c r="D34">
        <v>333.68</v>
      </c>
      <c r="E34">
        <v>337.32</v>
      </c>
      <c r="F34">
        <v>332.92</v>
      </c>
    </row>
    <row r="35" spans="1:6" x14ac:dyDescent="0.45">
      <c r="A35" s="1">
        <v>44298</v>
      </c>
      <c r="B35">
        <v>336.67</v>
      </c>
      <c r="C35">
        <v>25833010</v>
      </c>
      <c r="D35">
        <v>336.04</v>
      </c>
      <c r="E35">
        <v>337.1</v>
      </c>
      <c r="F35">
        <v>334.73</v>
      </c>
    </row>
    <row r="36" spans="1:6" x14ac:dyDescent="0.45">
      <c r="A36" s="1">
        <v>44299</v>
      </c>
      <c r="B36">
        <v>340.6</v>
      </c>
      <c r="C36">
        <v>30374030</v>
      </c>
      <c r="D36">
        <v>338.24</v>
      </c>
      <c r="E36">
        <v>341.08</v>
      </c>
      <c r="F36">
        <v>338.02</v>
      </c>
    </row>
    <row r="37" spans="1:6" x14ac:dyDescent="0.45">
      <c r="A37" s="1">
        <v>44300</v>
      </c>
      <c r="B37">
        <v>336.51</v>
      </c>
      <c r="C37">
        <v>42564340</v>
      </c>
      <c r="D37">
        <v>340.85</v>
      </c>
      <c r="E37">
        <v>340.98</v>
      </c>
      <c r="F37">
        <v>335.67</v>
      </c>
    </row>
    <row r="38" spans="1:6" x14ac:dyDescent="0.45">
      <c r="A38" s="1">
        <v>44301</v>
      </c>
      <c r="B38">
        <v>341.61</v>
      </c>
      <c r="C38">
        <v>36342820</v>
      </c>
      <c r="D38">
        <v>339.47</v>
      </c>
      <c r="E38">
        <v>342.01</v>
      </c>
      <c r="F38">
        <v>336.21530000000001</v>
      </c>
    </row>
    <row r="39" spans="1:6" x14ac:dyDescent="0.45">
      <c r="A39" s="1">
        <v>44302</v>
      </c>
      <c r="B39">
        <v>342.01</v>
      </c>
      <c r="C39">
        <v>40860100</v>
      </c>
      <c r="D39">
        <v>342.15</v>
      </c>
      <c r="E39">
        <v>342.23</v>
      </c>
      <c r="F39">
        <v>340.08</v>
      </c>
    </row>
    <row r="40" spans="1:6" x14ac:dyDescent="0.45">
      <c r="A40" s="1">
        <v>44305</v>
      </c>
      <c r="B40">
        <v>338.88</v>
      </c>
      <c r="C40">
        <v>34533130</v>
      </c>
      <c r="D40">
        <v>340.39</v>
      </c>
      <c r="E40">
        <v>341.58</v>
      </c>
      <c r="F40">
        <v>336.90159999999997</v>
      </c>
    </row>
    <row r="41" spans="1:6" x14ac:dyDescent="0.45">
      <c r="A41" s="1">
        <v>44306</v>
      </c>
      <c r="B41">
        <v>336.41</v>
      </c>
      <c r="C41">
        <v>38081820</v>
      </c>
      <c r="D41">
        <v>338.2</v>
      </c>
      <c r="E41">
        <v>339.52</v>
      </c>
      <c r="F41">
        <v>334.38159999999999</v>
      </c>
    </row>
    <row r="42" spans="1:6" x14ac:dyDescent="0.45">
      <c r="A42" s="1">
        <v>44307</v>
      </c>
      <c r="B42">
        <v>339.29</v>
      </c>
      <c r="C42">
        <v>36598080</v>
      </c>
      <c r="D42">
        <v>335.09</v>
      </c>
      <c r="E42">
        <v>339.48</v>
      </c>
      <c r="F42">
        <v>333.97</v>
      </c>
    </row>
    <row r="43" spans="1:6" x14ac:dyDescent="0.45">
      <c r="A43" s="1">
        <v>44308</v>
      </c>
      <c r="B43">
        <v>335.2</v>
      </c>
      <c r="C43">
        <v>45936140</v>
      </c>
      <c r="D43">
        <v>338.89</v>
      </c>
      <c r="E43">
        <v>339.9</v>
      </c>
      <c r="F43">
        <v>334.01</v>
      </c>
    </row>
    <row r="44" spans="1:6" x14ac:dyDescent="0.45">
      <c r="A44" s="1">
        <v>44309</v>
      </c>
      <c r="B44">
        <v>339.42</v>
      </c>
      <c r="C44">
        <v>36414920</v>
      </c>
      <c r="D44">
        <v>335.85</v>
      </c>
      <c r="E44">
        <v>340.767</v>
      </c>
      <c r="F44">
        <v>335.85</v>
      </c>
    </row>
    <row r="45" spans="1:6" x14ac:dyDescent="0.45">
      <c r="A45" s="1">
        <v>44312</v>
      </c>
      <c r="B45">
        <v>341.63</v>
      </c>
      <c r="C45">
        <v>30811970</v>
      </c>
      <c r="D45">
        <v>339.67</v>
      </c>
      <c r="E45">
        <v>341.92</v>
      </c>
      <c r="F45">
        <v>338.9</v>
      </c>
    </row>
    <row r="46" spans="1:6" x14ac:dyDescent="0.45">
      <c r="A46" s="1">
        <v>44313</v>
      </c>
      <c r="B46">
        <v>340.15</v>
      </c>
      <c r="C46">
        <v>33187180</v>
      </c>
      <c r="D46">
        <v>341.93</v>
      </c>
      <c r="E46">
        <v>342.15</v>
      </c>
      <c r="F46">
        <v>339.17</v>
      </c>
    </row>
    <row r="47" spans="1:6" x14ac:dyDescent="0.45">
      <c r="A47" s="1">
        <v>44314</v>
      </c>
      <c r="B47">
        <v>339</v>
      </c>
      <c r="C47">
        <v>33615700</v>
      </c>
      <c r="D47">
        <v>339.81</v>
      </c>
      <c r="E47">
        <v>340.85</v>
      </c>
      <c r="F47">
        <v>338.33010000000002</v>
      </c>
    </row>
    <row r="48" spans="1:6" x14ac:dyDescent="0.45">
      <c r="A48" s="1">
        <v>44315</v>
      </c>
      <c r="B48">
        <v>340.22</v>
      </c>
      <c r="C48">
        <v>37708880</v>
      </c>
      <c r="D48">
        <v>342.37</v>
      </c>
      <c r="E48">
        <v>342.8</v>
      </c>
      <c r="F48">
        <v>336.90010000000001</v>
      </c>
    </row>
    <row r="49" spans="1:6" x14ac:dyDescent="0.45">
      <c r="A49" s="1">
        <v>44316</v>
      </c>
      <c r="B49">
        <v>337.99</v>
      </c>
      <c r="C49">
        <v>38263420</v>
      </c>
      <c r="D49">
        <v>337.7</v>
      </c>
      <c r="E49">
        <v>340.26</v>
      </c>
      <c r="F49">
        <v>337.05</v>
      </c>
    </row>
    <row r="50" spans="1:6" x14ac:dyDescent="0.45">
      <c r="A50" s="1">
        <v>44319</v>
      </c>
      <c r="B50">
        <v>336.19</v>
      </c>
      <c r="C50">
        <v>29729730</v>
      </c>
      <c r="D50">
        <v>339.23</v>
      </c>
      <c r="E50">
        <v>340</v>
      </c>
      <c r="F50">
        <v>335.73</v>
      </c>
    </row>
    <row r="51" spans="1:6" x14ac:dyDescent="0.45">
      <c r="A51" s="1">
        <v>44320</v>
      </c>
      <c r="B51">
        <v>330.14</v>
      </c>
      <c r="C51">
        <v>65146970</v>
      </c>
      <c r="D51">
        <v>333.56</v>
      </c>
      <c r="E51">
        <v>333.89</v>
      </c>
      <c r="F51">
        <v>326.20999999999998</v>
      </c>
    </row>
    <row r="52" spans="1:6" x14ac:dyDescent="0.45">
      <c r="A52" s="1">
        <v>44321</v>
      </c>
      <c r="B52">
        <v>329.03</v>
      </c>
      <c r="C52">
        <v>46219310</v>
      </c>
      <c r="D52">
        <v>332.25</v>
      </c>
      <c r="E52">
        <v>333.14</v>
      </c>
      <c r="F52">
        <v>328.23</v>
      </c>
    </row>
    <row r="53" spans="1:6" x14ac:dyDescent="0.45">
      <c r="A53" s="1">
        <v>44322</v>
      </c>
      <c r="B53">
        <v>331.51</v>
      </c>
      <c r="C53">
        <v>46814280</v>
      </c>
      <c r="D53">
        <v>328.76</v>
      </c>
      <c r="E53">
        <v>331.67</v>
      </c>
      <c r="F53">
        <v>326.45</v>
      </c>
    </row>
    <row r="54" spans="1:6" x14ac:dyDescent="0.45">
      <c r="A54" s="1">
        <v>44323</v>
      </c>
      <c r="B54">
        <v>334.2</v>
      </c>
      <c r="C54">
        <v>53324460</v>
      </c>
      <c r="D54">
        <v>334.37</v>
      </c>
      <c r="E54">
        <v>336.65</v>
      </c>
      <c r="F54">
        <v>331.69139999999999</v>
      </c>
    </row>
    <row r="55" spans="1:6" x14ac:dyDescent="0.45">
      <c r="A55" s="1">
        <v>44326</v>
      </c>
      <c r="B55">
        <v>325.76</v>
      </c>
      <c r="C55">
        <v>60700460</v>
      </c>
      <c r="D55">
        <v>332.78</v>
      </c>
      <c r="E55">
        <v>332.96</v>
      </c>
      <c r="F55">
        <v>325.55</v>
      </c>
    </row>
    <row r="56" spans="1:6" x14ac:dyDescent="0.45">
      <c r="A56" s="1">
        <v>44327</v>
      </c>
      <c r="B56">
        <v>325.31</v>
      </c>
      <c r="C56">
        <v>71963610</v>
      </c>
      <c r="D56">
        <v>319.7</v>
      </c>
      <c r="E56">
        <v>326.12990000000002</v>
      </c>
      <c r="F56">
        <v>319.02</v>
      </c>
    </row>
    <row r="57" spans="1:6" x14ac:dyDescent="0.45">
      <c r="A57" s="1">
        <v>44328</v>
      </c>
      <c r="B57">
        <v>316.89</v>
      </c>
      <c r="C57">
        <v>91164860</v>
      </c>
      <c r="D57">
        <v>320.23</v>
      </c>
      <c r="E57">
        <v>322.62</v>
      </c>
      <c r="F57">
        <v>316</v>
      </c>
    </row>
    <row r="58" spans="1:6" x14ac:dyDescent="0.45">
      <c r="A58" s="1">
        <v>44329</v>
      </c>
      <c r="B58">
        <v>319.33999999999997</v>
      </c>
      <c r="C58">
        <v>69877770</v>
      </c>
      <c r="D58">
        <v>319.92</v>
      </c>
      <c r="E58">
        <v>322.39999999999998</v>
      </c>
      <c r="F58">
        <v>316.89999999999998</v>
      </c>
    </row>
    <row r="59" spans="1:6" x14ac:dyDescent="0.45">
      <c r="A59" s="1">
        <v>44330</v>
      </c>
      <c r="B59">
        <v>326.39</v>
      </c>
      <c r="C59">
        <v>44370020</v>
      </c>
      <c r="D59">
        <v>322.60000000000002</v>
      </c>
      <c r="E59">
        <v>327.33</v>
      </c>
      <c r="F59">
        <v>322.08</v>
      </c>
    </row>
    <row r="60" spans="1:6" x14ac:dyDescent="0.45">
      <c r="A60" s="1">
        <v>44333</v>
      </c>
      <c r="B60">
        <v>324.41000000000003</v>
      </c>
      <c r="C60">
        <v>39187120</v>
      </c>
      <c r="D60">
        <v>324.63</v>
      </c>
      <c r="E60">
        <v>326.37209999999999</v>
      </c>
      <c r="F60">
        <v>321.45</v>
      </c>
    </row>
    <row r="61" spans="1:6" x14ac:dyDescent="0.45">
      <c r="A61" s="1">
        <v>44334</v>
      </c>
      <c r="B61">
        <v>322.22000000000003</v>
      </c>
      <c r="C61">
        <v>36528450</v>
      </c>
      <c r="D61">
        <v>325.39</v>
      </c>
      <c r="E61">
        <v>326.64999999999998</v>
      </c>
      <c r="F61">
        <v>321.94</v>
      </c>
    </row>
    <row r="62" spans="1:6" x14ac:dyDescent="0.45">
      <c r="A62" s="1">
        <v>44335</v>
      </c>
      <c r="B62">
        <v>322.58999999999997</v>
      </c>
      <c r="C62">
        <v>66319110</v>
      </c>
      <c r="D62">
        <v>316.66000000000003</v>
      </c>
      <c r="E62">
        <v>322.89999999999998</v>
      </c>
      <c r="F62">
        <v>316.3</v>
      </c>
    </row>
    <row r="63" spans="1:6" x14ac:dyDescent="0.45">
      <c r="A63" s="1">
        <v>44336</v>
      </c>
      <c r="B63">
        <v>328.83</v>
      </c>
      <c r="C63">
        <v>46466140</v>
      </c>
      <c r="D63">
        <v>324.12</v>
      </c>
      <c r="E63">
        <v>329.71</v>
      </c>
      <c r="F63">
        <v>323.89</v>
      </c>
    </row>
    <row r="64" spans="1:6" x14ac:dyDescent="0.45">
      <c r="A64" s="1">
        <v>44337</v>
      </c>
      <c r="B64">
        <v>327.01</v>
      </c>
      <c r="C64">
        <v>50330450</v>
      </c>
      <c r="D64">
        <v>330.43</v>
      </c>
      <c r="E64">
        <v>330.86</v>
      </c>
      <c r="F64">
        <v>326.64</v>
      </c>
    </row>
    <row r="65" spans="1:6" x14ac:dyDescent="0.45">
      <c r="A65" s="1">
        <v>44340</v>
      </c>
      <c r="B65">
        <v>332.51</v>
      </c>
      <c r="C65">
        <v>32475770</v>
      </c>
      <c r="D65">
        <v>329.37</v>
      </c>
      <c r="E65">
        <v>333.67</v>
      </c>
      <c r="F65">
        <v>326.90320000000003</v>
      </c>
    </row>
    <row r="66" spans="1:6" x14ac:dyDescent="0.45">
      <c r="A66" s="1">
        <v>44341</v>
      </c>
      <c r="B66">
        <v>332.97</v>
      </c>
      <c r="C66">
        <v>31280310</v>
      </c>
      <c r="D66">
        <v>334.07</v>
      </c>
      <c r="E66">
        <v>334.81</v>
      </c>
      <c r="F66">
        <v>331.755</v>
      </c>
    </row>
    <row r="67" spans="1:6" x14ac:dyDescent="0.45">
      <c r="A67" s="1">
        <v>44342</v>
      </c>
      <c r="B67">
        <v>334.13</v>
      </c>
      <c r="C67">
        <v>25444930</v>
      </c>
      <c r="D67">
        <v>333.66</v>
      </c>
      <c r="E67">
        <v>334.61</v>
      </c>
      <c r="F67">
        <v>332.95</v>
      </c>
    </row>
    <row r="68" spans="1:6" x14ac:dyDescent="0.45">
      <c r="A68" s="1">
        <v>44343</v>
      </c>
      <c r="B68">
        <v>332.88</v>
      </c>
      <c r="C68">
        <v>27931750</v>
      </c>
      <c r="D68">
        <v>333.67</v>
      </c>
      <c r="E68">
        <v>334.54</v>
      </c>
      <c r="F68">
        <v>332.67</v>
      </c>
    </row>
    <row r="69" spans="1:6" x14ac:dyDescent="0.45">
      <c r="A69" s="1">
        <v>44344</v>
      </c>
      <c r="B69">
        <v>333.93</v>
      </c>
      <c r="C69">
        <v>29927450</v>
      </c>
      <c r="D69">
        <v>334.12</v>
      </c>
      <c r="E69">
        <v>335.56990000000002</v>
      </c>
      <c r="F69">
        <v>333.6</v>
      </c>
    </row>
    <row r="70" spans="1:6" x14ac:dyDescent="0.45">
      <c r="A70" s="1">
        <v>44348</v>
      </c>
      <c r="B70">
        <v>332.82</v>
      </c>
      <c r="C70">
        <v>31145420</v>
      </c>
      <c r="D70">
        <v>335.3</v>
      </c>
      <c r="E70">
        <v>335.78500000000003</v>
      </c>
      <c r="F70">
        <v>331.43</v>
      </c>
    </row>
    <row r="71" spans="1:6" x14ac:dyDescent="0.45">
      <c r="A71" s="1">
        <v>44349</v>
      </c>
      <c r="B71">
        <v>333.47</v>
      </c>
      <c r="C71">
        <v>22047940</v>
      </c>
      <c r="D71">
        <v>333.25</v>
      </c>
      <c r="E71">
        <v>334.34</v>
      </c>
      <c r="F71">
        <v>331.69499999999999</v>
      </c>
    </row>
    <row r="72" spans="1:6" x14ac:dyDescent="0.45">
      <c r="A72" s="1">
        <v>44350</v>
      </c>
      <c r="B72">
        <v>330</v>
      </c>
      <c r="C72">
        <v>37057830</v>
      </c>
      <c r="D72">
        <v>330.55</v>
      </c>
      <c r="E72">
        <v>331.86</v>
      </c>
      <c r="F72">
        <v>328.28</v>
      </c>
    </row>
    <row r="73" spans="1:6" x14ac:dyDescent="0.45">
      <c r="A73" s="1">
        <v>44351</v>
      </c>
      <c r="B73">
        <v>335.6</v>
      </c>
      <c r="C73">
        <v>38736550</v>
      </c>
      <c r="D73">
        <v>331.85</v>
      </c>
      <c r="E73">
        <v>336.0582</v>
      </c>
      <c r="F73">
        <v>331.78</v>
      </c>
    </row>
    <row r="74" spans="1:6" x14ac:dyDescent="0.45">
      <c r="A74" s="1">
        <v>44354</v>
      </c>
      <c r="B74">
        <v>336.6</v>
      </c>
      <c r="C74">
        <v>32611850</v>
      </c>
      <c r="D74">
        <v>335.05</v>
      </c>
      <c r="E74">
        <v>336.66</v>
      </c>
      <c r="F74">
        <v>334.34</v>
      </c>
    </row>
    <row r="75" spans="1:6" x14ac:dyDescent="0.45">
      <c r="A75" s="1">
        <v>44355</v>
      </c>
      <c r="B75">
        <v>336.76</v>
      </c>
      <c r="C75">
        <v>27282820</v>
      </c>
      <c r="D75">
        <v>338.39499999999998</v>
      </c>
      <c r="E75">
        <v>339.29</v>
      </c>
      <c r="F75">
        <v>335.03</v>
      </c>
    </row>
    <row r="76" spans="1:6" x14ac:dyDescent="0.45">
      <c r="A76" s="1">
        <v>44356</v>
      </c>
      <c r="B76">
        <v>336.84</v>
      </c>
      <c r="C76">
        <v>21485320</v>
      </c>
      <c r="D76">
        <v>338.17</v>
      </c>
      <c r="E76">
        <v>338.97</v>
      </c>
      <c r="F76">
        <v>336.65100000000001</v>
      </c>
    </row>
    <row r="77" spans="1:6" x14ac:dyDescent="0.45">
      <c r="A77" s="1">
        <v>44357</v>
      </c>
      <c r="B77">
        <v>340.35</v>
      </c>
      <c r="C77">
        <v>33702070</v>
      </c>
      <c r="D77">
        <v>337.19</v>
      </c>
      <c r="E77">
        <v>340.46</v>
      </c>
      <c r="F77">
        <v>336.73</v>
      </c>
    </row>
    <row r="78" spans="1:6" x14ac:dyDescent="0.45">
      <c r="A78" s="1">
        <v>44358</v>
      </c>
      <c r="B78">
        <v>341.24</v>
      </c>
      <c r="C78">
        <v>21222830</v>
      </c>
      <c r="D78">
        <v>340.36</v>
      </c>
      <c r="E78">
        <v>341.25</v>
      </c>
      <c r="F78">
        <v>339.69</v>
      </c>
    </row>
    <row r="79" spans="1:6" x14ac:dyDescent="0.45">
      <c r="A79" s="1">
        <v>44361</v>
      </c>
      <c r="B79">
        <v>344.51</v>
      </c>
      <c r="C79">
        <v>27827720</v>
      </c>
      <c r="D79">
        <v>341.68</v>
      </c>
      <c r="E79">
        <v>344.52</v>
      </c>
      <c r="F79">
        <v>340.46</v>
      </c>
    </row>
    <row r="80" spans="1:6" x14ac:dyDescent="0.45">
      <c r="A80" s="1">
        <v>44362</v>
      </c>
      <c r="B80">
        <v>342.26</v>
      </c>
      <c r="C80">
        <v>35963780</v>
      </c>
      <c r="D80">
        <v>344.15</v>
      </c>
      <c r="E80">
        <v>344.47</v>
      </c>
      <c r="F80">
        <v>341.52</v>
      </c>
    </row>
    <row r="81" spans="1:6" x14ac:dyDescent="0.45">
      <c r="A81" s="1">
        <v>44363</v>
      </c>
      <c r="B81">
        <v>341.01</v>
      </c>
      <c r="C81">
        <v>55399540</v>
      </c>
      <c r="D81">
        <v>342.74</v>
      </c>
      <c r="E81">
        <v>343.84</v>
      </c>
      <c r="F81">
        <v>337.45</v>
      </c>
    </row>
    <row r="82" spans="1:6" x14ac:dyDescent="0.45">
      <c r="A82" s="1">
        <v>44364</v>
      </c>
      <c r="B82">
        <v>345.34</v>
      </c>
      <c r="C82">
        <v>59722700</v>
      </c>
      <c r="D82">
        <v>339.97</v>
      </c>
      <c r="E82">
        <v>346.38</v>
      </c>
      <c r="F82">
        <v>339.92</v>
      </c>
    </row>
    <row r="83" spans="1:6" x14ac:dyDescent="0.45">
      <c r="A83" s="1">
        <v>44365</v>
      </c>
      <c r="B83">
        <v>342.63</v>
      </c>
      <c r="C83">
        <v>55414860</v>
      </c>
      <c r="D83">
        <v>343.63</v>
      </c>
      <c r="E83">
        <v>344.8082</v>
      </c>
      <c r="F83">
        <v>341.86</v>
      </c>
    </row>
    <row r="84" spans="1:6" x14ac:dyDescent="0.45">
      <c r="A84" s="1">
        <v>44368</v>
      </c>
      <c r="B84">
        <v>344.36</v>
      </c>
      <c r="C84">
        <v>32992650</v>
      </c>
      <c r="D84">
        <v>342.43</v>
      </c>
      <c r="E84">
        <v>344.69</v>
      </c>
      <c r="F84">
        <v>340.15</v>
      </c>
    </row>
    <row r="85" spans="1:6" x14ac:dyDescent="0.45">
      <c r="A85" s="1">
        <v>44369</v>
      </c>
      <c r="B85">
        <v>347.57</v>
      </c>
      <c r="C85">
        <v>28941630</v>
      </c>
      <c r="D85">
        <v>344.15</v>
      </c>
      <c r="E85">
        <v>348.03</v>
      </c>
      <c r="F85">
        <v>343.84</v>
      </c>
    </row>
    <row r="86" spans="1:6" x14ac:dyDescent="0.45">
      <c r="A86" s="1">
        <v>44370</v>
      </c>
      <c r="B86">
        <v>347.74</v>
      </c>
      <c r="C86">
        <v>27188450</v>
      </c>
      <c r="D86">
        <v>347.51</v>
      </c>
      <c r="E86">
        <v>348.92</v>
      </c>
      <c r="F86">
        <v>346.88</v>
      </c>
    </row>
    <row r="87" spans="1:6" x14ac:dyDescent="0.45">
      <c r="A87" s="1">
        <v>44371</v>
      </c>
      <c r="B87">
        <v>349.89</v>
      </c>
      <c r="C87">
        <v>32581610</v>
      </c>
      <c r="D87">
        <v>349.73</v>
      </c>
      <c r="E87">
        <v>351.46</v>
      </c>
      <c r="F87">
        <v>349.17</v>
      </c>
    </row>
    <row r="88" spans="1:6" x14ac:dyDescent="0.45">
      <c r="A88" s="1">
        <v>44372</v>
      </c>
      <c r="B88">
        <v>349.46</v>
      </c>
      <c r="C88">
        <v>28682800</v>
      </c>
      <c r="D88">
        <v>350.47</v>
      </c>
      <c r="E88">
        <v>350.72</v>
      </c>
      <c r="F88">
        <v>348.84</v>
      </c>
    </row>
    <row r="89" spans="1:6" x14ac:dyDescent="0.45">
      <c r="A89" s="1">
        <v>44375</v>
      </c>
      <c r="B89">
        <v>353.71</v>
      </c>
      <c r="C89">
        <v>39130310</v>
      </c>
      <c r="D89">
        <v>350.78</v>
      </c>
      <c r="E89">
        <v>353.85</v>
      </c>
      <c r="F89">
        <v>350.72</v>
      </c>
    </row>
    <row r="90" spans="1:6" x14ac:dyDescent="0.45">
      <c r="A90" s="1">
        <v>44376</v>
      </c>
      <c r="B90">
        <v>354.99</v>
      </c>
      <c r="C90">
        <v>29426040</v>
      </c>
      <c r="D90">
        <v>353.53</v>
      </c>
      <c r="E90">
        <v>355.01990000000001</v>
      </c>
      <c r="F90">
        <v>352.67</v>
      </c>
    </row>
    <row r="91" spans="1:6" x14ac:dyDescent="0.45">
      <c r="A91" s="1">
        <v>44377</v>
      </c>
      <c r="B91">
        <v>354.43</v>
      </c>
      <c r="C91">
        <v>32723960</v>
      </c>
      <c r="D91">
        <v>354.83</v>
      </c>
      <c r="E91">
        <v>355.23</v>
      </c>
      <c r="F91">
        <v>353.83</v>
      </c>
    </row>
    <row r="92" spans="1:6" x14ac:dyDescent="0.45">
      <c r="A92" s="1">
        <v>44378</v>
      </c>
      <c r="B92">
        <v>354.57</v>
      </c>
      <c r="C92">
        <v>29289980</v>
      </c>
      <c r="D92">
        <v>354.07</v>
      </c>
      <c r="E92">
        <v>355.09</v>
      </c>
      <c r="F92">
        <v>352.68</v>
      </c>
    </row>
    <row r="93" spans="1:6" x14ac:dyDescent="0.45">
      <c r="A93" s="1">
        <v>44379</v>
      </c>
      <c r="B93">
        <v>358.64</v>
      </c>
      <c r="C93">
        <v>32727240</v>
      </c>
      <c r="D93">
        <v>356.52</v>
      </c>
      <c r="E93">
        <v>358.97</v>
      </c>
      <c r="F93">
        <v>356.28</v>
      </c>
    </row>
    <row r="94" spans="1:6" x14ac:dyDescent="0.45">
      <c r="A94" s="1">
        <v>44383</v>
      </c>
      <c r="B94">
        <v>360.19</v>
      </c>
      <c r="C94">
        <v>38842400</v>
      </c>
      <c r="D94">
        <v>359.26</v>
      </c>
      <c r="E94">
        <v>360.48</v>
      </c>
      <c r="F94">
        <v>356.49</v>
      </c>
    </row>
    <row r="95" spans="1:6" x14ac:dyDescent="0.45">
      <c r="A95" s="1">
        <v>44384</v>
      </c>
      <c r="B95">
        <v>360.95</v>
      </c>
      <c r="C95">
        <v>35265240</v>
      </c>
      <c r="D95">
        <v>362.45</v>
      </c>
      <c r="E95">
        <v>362.76</v>
      </c>
      <c r="F95">
        <v>358.94</v>
      </c>
    </row>
    <row r="96" spans="1:6" x14ac:dyDescent="0.45">
      <c r="A96" s="1">
        <v>44385</v>
      </c>
      <c r="B96">
        <v>358.77</v>
      </c>
      <c r="C96">
        <v>50890020</v>
      </c>
      <c r="D96">
        <v>355.74</v>
      </c>
      <c r="E96">
        <v>359.65</v>
      </c>
      <c r="F96">
        <v>354.42</v>
      </c>
    </row>
    <row r="97" spans="1:6" x14ac:dyDescent="0.45">
      <c r="A97" s="1">
        <v>44386</v>
      </c>
      <c r="B97">
        <v>361.01</v>
      </c>
      <c r="C97">
        <v>35184530</v>
      </c>
      <c r="D97">
        <v>358.17</v>
      </c>
      <c r="E97">
        <v>361.5</v>
      </c>
      <c r="F97">
        <v>357.57</v>
      </c>
    </row>
    <row r="98" spans="1:6" x14ac:dyDescent="0.45">
      <c r="A98" s="1">
        <v>44389</v>
      </c>
      <c r="B98">
        <v>362.42</v>
      </c>
      <c r="C98">
        <v>25717680</v>
      </c>
      <c r="D98">
        <v>362.45</v>
      </c>
      <c r="E98">
        <v>362.89</v>
      </c>
      <c r="F98">
        <v>360.83</v>
      </c>
    </row>
    <row r="99" spans="1:6" x14ac:dyDescent="0.45">
      <c r="A99" s="1">
        <v>44390</v>
      </c>
      <c r="B99">
        <v>362.42</v>
      </c>
      <c r="C99">
        <v>39723020</v>
      </c>
      <c r="D99">
        <v>362.03</v>
      </c>
      <c r="E99">
        <v>365.46499999999997</v>
      </c>
      <c r="F99">
        <v>361.54</v>
      </c>
    </row>
    <row r="100" spans="1:6" x14ac:dyDescent="0.45">
      <c r="A100" s="1">
        <v>44391</v>
      </c>
      <c r="B100">
        <v>363.07</v>
      </c>
      <c r="C100">
        <v>35336350</v>
      </c>
      <c r="D100">
        <v>364.83</v>
      </c>
      <c r="E100">
        <v>365.49</v>
      </c>
      <c r="F100">
        <v>362.22</v>
      </c>
    </row>
    <row r="101" spans="1:6" x14ac:dyDescent="0.45">
      <c r="A101" s="1">
        <v>44392</v>
      </c>
      <c r="B101">
        <v>360.52</v>
      </c>
      <c r="C101">
        <v>53391560</v>
      </c>
      <c r="D101">
        <v>362.98</v>
      </c>
      <c r="E101">
        <v>363.19</v>
      </c>
      <c r="F101">
        <v>358.46</v>
      </c>
    </row>
    <row r="102" spans="1:6" x14ac:dyDescent="0.45">
      <c r="A102" s="1">
        <v>44393</v>
      </c>
      <c r="B102">
        <v>357.6</v>
      </c>
      <c r="C102">
        <v>47261960</v>
      </c>
      <c r="D102">
        <v>361.4</v>
      </c>
      <c r="E102">
        <v>362.41</v>
      </c>
      <c r="F102">
        <v>357.24</v>
      </c>
    </row>
    <row r="103" spans="1:6" x14ac:dyDescent="0.45">
      <c r="A103" s="1">
        <v>44396</v>
      </c>
      <c r="B103">
        <v>354.67</v>
      </c>
      <c r="C103">
        <v>64404630</v>
      </c>
      <c r="D103">
        <v>354.05</v>
      </c>
      <c r="E103">
        <v>355.18</v>
      </c>
      <c r="F103">
        <v>352.04</v>
      </c>
    </row>
    <row r="104" spans="1:6" x14ac:dyDescent="0.45">
      <c r="A104" s="1">
        <v>44397</v>
      </c>
      <c r="B104">
        <v>358.79</v>
      </c>
      <c r="C104">
        <v>42183700</v>
      </c>
      <c r="D104">
        <v>355.63</v>
      </c>
      <c r="E104">
        <v>360.28</v>
      </c>
      <c r="F104">
        <v>353.8</v>
      </c>
    </row>
    <row r="105" spans="1:6" x14ac:dyDescent="0.45">
      <c r="A105" s="1">
        <v>44398</v>
      </c>
      <c r="B105">
        <v>361.56</v>
      </c>
      <c r="C105">
        <v>30259860</v>
      </c>
      <c r="D105">
        <v>358.35</v>
      </c>
      <c r="E105">
        <v>361.56</v>
      </c>
      <c r="F105">
        <v>358.12</v>
      </c>
    </row>
    <row r="106" spans="1:6" x14ac:dyDescent="0.45">
      <c r="A106" s="1">
        <v>44399</v>
      </c>
      <c r="B106">
        <v>363.95</v>
      </c>
      <c r="C106">
        <v>30252240</v>
      </c>
      <c r="D106">
        <v>361.77</v>
      </c>
      <c r="E106">
        <v>363.96</v>
      </c>
      <c r="F106">
        <v>361.77</v>
      </c>
    </row>
    <row r="107" spans="1:6" x14ac:dyDescent="0.45">
      <c r="A107" s="1">
        <v>44400</v>
      </c>
      <c r="B107">
        <v>368.2</v>
      </c>
      <c r="C107">
        <v>31960800</v>
      </c>
      <c r="D107">
        <v>365.31</v>
      </c>
      <c r="E107">
        <v>368.48500000000001</v>
      </c>
      <c r="F107">
        <v>363.91570000000002</v>
      </c>
    </row>
    <row r="108" spans="1:6" x14ac:dyDescent="0.45">
      <c r="A108" s="1">
        <v>44403</v>
      </c>
      <c r="B108">
        <v>368.49</v>
      </c>
      <c r="C108">
        <v>28438130</v>
      </c>
      <c r="D108">
        <v>367.49</v>
      </c>
      <c r="E108">
        <v>368.89</v>
      </c>
      <c r="F108">
        <v>366.601</v>
      </c>
    </row>
    <row r="109" spans="1:6" x14ac:dyDescent="0.45">
      <c r="A109" s="1">
        <v>44404</v>
      </c>
      <c r="B109">
        <v>364.43</v>
      </c>
      <c r="C109">
        <v>57933150</v>
      </c>
      <c r="D109">
        <v>368.22</v>
      </c>
      <c r="E109">
        <v>368.22</v>
      </c>
      <c r="F109">
        <v>360.16</v>
      </c>
    </row>
    <row r="110" spans="1:6" x14ac:dyDescent="0.45">
      <c r="A110" s="1">
        <v>44405</v>
      </c>
      <c r="B110">
        <v>365.83</v>
      </c>
      <c r="C110">
        <v>42066200</v>
      </c>
      <c r="D110">
        <v>365.6</v>
      </c>
      <c r="E110">
        <v>367.45</v>
      </c>
      <c r="F110">
        <v>363.24</v>
      </c>
    </row>
    <row r="111" spans="1:6" x14ac:dyDescent="0.45">
      <c r="A111" s="1">
        <v>44406</v>
      </c>
      <c r="B111">
        <v>366.48</v>
      </c>
      <c r="C111">
        <v>25672530</v>
      </c>
      <c r="D111">
        <v>365.25</v>
      </c>
      <c r="E111">
        <v>367.67939999999999</v>
      </c>
      <c r="F111">
        <v>365.25</v>
      </c>
    </row>
    <row r="112" spans="1:6" x14ac:dyDescent="0.45">
      <c r="A112" s="1">
        <v>44407</v>
      </c>
      <c r="B112">
        <v>364.57</v>
      </c>
      <c r="C112">
        <v>36484650</v>
      </c>
      <c r="D112">
        <v>362.44</v>
      </c>
      <c r="E112">
        <v>365.17</v>
      </c>
      <c r="F112">
        <v>362.41</v>
      </c>
    </row>
    <row r="113" spans="1:6" x14ac:dyDescent="0.45">
      <c r="A113" s="1">
        <v>44410</v>
      </c>
      <c r="B113">
        <v>364.6</v>
      </c>
      <c r="C113">
        <v>27334100</v>
      </c>
      <c r="D113">
        <v>366.28</v>
      </c>
      <c r="E113">
        <v>366.88</v>
      </c>
      <c r="F113">
        <v>363.87</v>
      </c>
    </row>
    <row r="114" spans="1:6" x14ac:dyDescent="0.45">
      <c r="A114" s="1">
        <v>44411</v>
      </c>
      <c r="B114">
        <v>366.81</v>
      </c>
      <c r="C114">
        <v>35558510</v>
      </c>
      <c r="D114">
        <v>365.28</v>
      </c>
      <c r="E114">
        <v>366.93</v>
      </c>
      <c r="F114">
        <v>362</v>
      </c>
    </row>
    <row r="115" spans="1:6" x14ac:dyDescent="0.45">
      <c r="A115" s="1">
        <v>44412</v>
      </c>
      <c r="B115">
        <v>367.34</v>
      </c>
      <c r="C115">
        <v>29602240</v>
      </c>
      <c r="D115">
        <v>366.77</v>
      </c>
      <c r="E115">
        <v>368.32</v>
      </c>
      <c r="F115">
        <v>365.63</v>
      </c>
    </row>
    <row r="116" spans="1:6" x14ac:dyDescent="0.45">
      <c r="A116" s="1">
        <v>44413</v>
      </c>
      <c r="B116">
        <v>369.67</v>
      </c>
      <c r="C116">
        <v>21443930</v>
      </c>
      <c r="D116">
        <v>368.18</v>
      </c>
      <c r="E116">
        <v>369.91</v>
      </c>
      <c r="F116">
        <v>367.45</v>
      </c>
    </row>
    <row r="117" spans="1:6" x14ac:dyDescent="0.45">
      <c r="A117" s="1">
        <v>44414</v>
      </c>
      <c r="B117">
        <v>368.05</v>
      </c>
      <c r="C117">
        <v>33332110</v>
      </c>
      <c r="D117">
        <v>368.37</v>
      </c>
      <c r="E117">
        <v>369.37</v>
      </c>
      <c r="F117">
        <v>366.90499999999997</v>
      </c>
    </row>
    <row r="118" spans="1:6" x14ac:dyDescent="0.45">
      <c r="A118" s="1">
        <v>44417</v>
      </c>
      <c r="B118">
        <v>368.73</v>
      </c>
      <c r="C118">
        <v>25960250</v>
      </c>
      <c r="D118">
        <v>368.52</v>
      </c>
      <c r="E118">
        <v>369.27</v>
      </c>
      <c r="F118">
        <v>367.39</v>
      </c>
    </row>
    <row r="119" spans="1:6" x14ac:dyDescent="0.45">
      <c r="A119" s="1">
        <v>44418</v>
      </c>
      <c r="B119">
        <v>366.84</v>
      </c>
      <c r="C119">
        <v>35130800</v>
      </c>
      <c r="D119">
        <v>369.26</v>
      </c>
      <c r="E119">
        <v>369.56</v>
      </c>
      <c r="F119">
        <v>365.62</v>
      </c>
    </row>
    <row r="120" spans="1:6" x14ac:dyDescent="0.45">
      <c r="A120" s="1">
        <v>44419</v>
      </c>
      <c r="B120">
        <v>366.21</v>
      </c>
      <c r="C120">
        <v>34249810</v>
      </c>
      <c r="D120">
        <v>368.14</v>
      </c>
      <c r="E120">
        <v>368.65</v>
      </c>
      <c r="F120">
        <v>364.84</v>
      </c>
    </row>
    <row r="121" spans="1:6" x14ac:dyDescent="0.45">
      <c r="A121" s="1">
        <v>44420</v>
      </c>
      <c r="B121">
        <v>367.53</v>
      </c>
      <c r="C121">
        <v>26003880</v>
      </c>
      <c r="D121">
        <v>365.69</v>
      </c>
      <c r="E121">
        <v>367.9</v>
      </c>
      <c r="F121">
        <v>364.29500000000002</v>
      </c>
    </row>
    <row r="122" spans="1:6" x14ac:dyDescent="0.45">
      <c r="A122" s="1">
        <v>44421</v>
      </c>
      <c r="B122">
        <v>368.82</v>
      </c>
      <c r="C122">
        <v>19336190</v>
      </c>
      <c r="D122">
        <v>367.89</v>
      </c>
      <c r="E122">
        <v>369.16</v>
      </c>
      <c r="F122">
        <v>367.38</v>
      </c>
    </row>
    <row r="123" spans="1:6" x14ac:dyDescent="0.45">
      <c r="A123" s="1">
        <v>44424</v>
      </c>
      <c r="B123">
        <v>368.98</v>
      </c>
      <c r="C123">
        <v>35044110</v>
      </c>
      <c r="D123">
        <v>367.67</v>
      </c>
      <c r="E123">
        <v>369.02</v>
      </c>
      <c r="F123">
        <v>363.7</v>
      </c>
    </row>
    <row r="124" spans="1:6" x14ac:dyDescent="0.45">
      <c r="A124" s="1">
        <v>44425</v>
      </c>
      <c r="B124">
        <v>365.73</v>
      </c>
      <c r="C124">
        <v>44793900</v>
      </c>
      <c r="D124">
        <v>366.15</v>
      </c>
      <c r="E124">
        <v>367.15</v>
      </c>
      <c r="F124">
        <v>363.23</v>
      </c>
    </row>
    <row r="125" spans="1:6" x14ac:dyDescent="0.45">
      <c r="A125" s="1">
        <v>44426</v>
      </c>
      <c r="B125">
        <v>362.21</v>
      </c>
      <c r="C125">
        <v>38541940</v>
      </c>
      <c r="D125">
        <v>365.18</v>
      </c>
      <c r="E125">
        <v>366.62</v>
      </c>
      <c r="F125">
        <v>361.86500000000001</v>
      </c>
    </row>
    <row r="126" spans="1:6" x14ac:dyDescent="0.45">
      <c r="A126" s="1">
        <v>44427</v>
      </c>
      <c r="B126">
        <v>363.96</v>
      </c>
      <c r="C126">
        <v>48499370</v>
      </c>
      <c r="D126">
        <v>360.22</v>
      </c>
      <c r="E126">
        <v>365.68</v>
      </c>
      <c r="F126">
        <v>359.96</v>
      </c>
    </row>
    <row r="127" spans="1:6" x14ac:dyDescent="0.45">
      <c r="A127" s="1">
        <v>44428</v>
      </c>
      <c r="B127">
        <v>367.73</v>
      </c>
      <c r="C127">
        <v>39486030</v>
      </c>
      <c r="D127">
        <v>365.06</v>
      </c>
      <c r="E127">
        <v>368.14</v>
      </c>
      <c r="F127">
        <v>364.74</v>
      </c>
    </row>
    <row r="128" spans="1:6" x14ac:dyDescent="0.45">
      <c r="A128" s="1">
        <v>44431</v>
      </c>
      <c r="B128">
        <v>373.23</v>
      </c>
      <c r="C128">
        <v>34034740</v>
      </c>
      <c r="D128">
        <v>368.8</v>
      </c>
      <c r="E128">
        <v>373.935</v>
      </c>
      <c r="F128">
        <v>368.79</v>
      </c>
    </row>
    <row r="129" spans="1:6" x14ac:dyDescent="0.45">
      <c r="A129" s="1">
        <v>44432</v>
      </c>
      <c r="B129">
        <v>374.37</v>
      </c>
      <c r="C129">
        <v>21732910</v>
      </c>
      <c r="D129">
        <v>373.84</v>
      </c>
      <c r="E129">
        <v>374.99</v>
      </c>
      <c r="F129">
        <v>373.36</v>
      </c>
    </row>
    <row r="130" spans="1:6" x14ac:dyDescent="0.45">
      <c r="A130" s="1">
        <v>44433</v>
      </c>
      <c r="B130">
        <v>374.8</v>
      </c>
      <c r="C130">
        <v>20441880</v>
      </c>
      <c r="D130">
        <v>374.63</v>
      </c>
      <c r="E130">
        <v>375.39</v>
      </c>
      <c r="F130">
        <v>373.85500000000002</v>
      </c>
    </row>
    <row r="131" spans="1:6" x14ac:dyDescent="0.45">
      <c r="A131" s="1">
        <v>44434</v>
      </c>
      <c r="B131">
        <v>372.42</v>
      </c>
      <c r="C131">
        <v>29133330</v>
      </c>
      <c r="D131">
        <v>373.92</v>
      </c>
      <c r="E131">
        <v>374.62</v>
      </c>
      <c r="F131">
        <v>371.97</v>
      </c>
    </row>
    <row r="132" spans="1:6" x14ac:dyDescent="0.45">
      <c r="A132" s="1">
        <v>44435</v>
      </c>
      <c r="B132">
        <v>376.04</v>
      </c>
      <c r="C132">
        <v>27104750</v>
      </c>
      <c r="D132">
        <v>373.07</v>
      </c>
      <c r="E132">
        <v>376.56</v>
      </c>
      <c r="F132">
        <v>372.57</v>
      </c>
    </row>
    <row r="133" spans="1:6" x14ac:dyDescent="0.45">
      <c r="A133" s="1">
        <v>44438</v>
      </c>
      <c r="B133">
        <v>380.26</v>
      </c>
      <c r="C133">
        <v>27295670</v>
      </c>
      <c r="D133">
        <v>376.85</v>
      </c>
      <c r="E133">
        <v>380.76</v>
      </c>
      <c r="F133">
        <v>376.83</v>
      </c>
    </row>
    <row r="134" spans="1:6" x14ac:dyDescent="0.45">
      <c r="A134" s="1">
        <v>44439</v>
      </c>
      <c r="B134">
        <v>379.95</v>
      </c>
      <c r="C134">
        <v>29628180</v>
      </c>
      <c r="D134">
        <v>380.51</v>
      </c>
      <c r="E134">
        <v>380.57900000000001</v>
      </c>
      <c r="F134">
        <v>378.36</v>
      </c>
    </row>
    <row r="135" spans="1:6" x14ac:dyDescent="0.45">
      <c r="A135" s="1">
        <v>44440</v>
      </c>
      <c r="B135">
        <v>380.58</v>
      </c>
      <c r="C135">
        <v>28138310</v>
      </c>
      <c r="D135">
        <v>381.04</v>
      </c>
      <c r="E135">
        <v>382.71</v>
      </c>
      <c r="F135">
        <v>380.37</v>
      </c>
    </row>
    <row r="136" spans="1:6" x14ac:dyDescent="0.45">
      <c r="A136" s="1">
        <v>44441</v>
      </c>
      <c r="B136">
        <v>380.4</v>
      </c>
      <c r="C136">
        <v>25503540</v>
      </c>
      <c r="D136">
        <v>381.97</v>
      </c>
      <c r="E136">
        <v>382.31</v>
      </c>
      <c r="F136">
        <v>379.15</v>
      </c>
    </row>
    <row r="137" spans="1:6" x14ac:dyDescent="0.45">
      <c r="A137" s="1">
        <v>44442</v>
      </c>
      <c r="B137">
        <v>381.57</v>
      </c>
      <c r="C137">
        <v>24624940</v>
      </c>
      <c r="D137">
        <v>379.22</v>
      </c>
      <c r="E137">
        <v>381.98</v>
      </c>
      <c r="F137">
        <v>379.20030000000003</v>
      </c>
    </row>
    <row r="138" spans="1:6" x14ac:dyDescent="0.45">
      <c r="A138" s="1">
        <v>44446</v>
      </c>
      <c r="B138">
        <v>382.11</v>
      </c>
      <c r="C138">
        <v>23970200</v>
      </c>
      <c r="D138">
        <v>381.68</v>
      </c>
      <c r="E138">
        <v>382.77800000000002</v>
      </c>
      <c r="F138">
        <v>380.48820000000001</v>
      </c>
    </row>
    <row r="139" spans="1:6" x14ac:dyDescent="0.45">
      <c r="A139" s="1">
        <v>44447</v>
      </c>
      <c r="B139">
        <v>380.78</v>
      </c>
      <c r="C139">
        <v>32949160</v>
      </c>
      <c r="D139">
        <v>381.93</v>
      </c>
      <c r="E139">
        <v>381.93</v>
      </c>
      <c r="F139">
        <v>378.45</v>
      </c>
    </row>
    <row r="140" spans="1:6" x14ac:dyDescent="0.45">
      <c r="A140" s="1">
        <v>44448</v>
      </c>
      <c r="B140">
        <v>379.47</v>
      </c>
      <c r="C140">
        <v>29398980</v>
      </c>
      <c r="D140">
        <v>381.01</v>
      </c>
      <c r="E140">
        <v>382.15</v>
      </c>
      <c r="F140">
        <v>379.22</v>
      </c>
    </row>
    <row r="141" spans="1:6" x14ac:dyDescent="0.45">
      <c r="A141" s="1">
        <v>44449</v>
      </c>
      <c r="B141">
        <v>376.59</v>
      </c>
      <c r="C141">
        <v>40249410</v>
      </c>
      <c r="D141">
        <v>381.23</v>
      </c>
      <c r="E141">
        <v>381.97</v>
      </c>
      <c r="F141">
        <v>376.245</v>
      </c>
    </row>
    <row r="142" spans="1:6" x14ac:dyDescent="0.45">
      <c r="A142" s="1">
        <v>44452</v>
      </c>
      <c r="B142">
        <v>376.33</v>
      </c>
      <c r="C142">
        <v>48741780</v>
      </c>
      <c r="D142">
        <v>378.99</v>
      </c>
      <c r="E142">
        <v>379.43</v>
      </c>
      <c r="F142">
        <v>374.22</v>
      </c>
    </row>
    <row r="143" spans="1:6" x14ac:dyDescent="0.45">
      <c r="A143" s="1">
        <v>44453</v>
      </c>
      <c r="B143">
        <v>375.26</v>
      </c>
      <c r="C143">
        <v>41826620</v>
      </c>
      <c r="D143">
        <v>377.86</v>
      </c>
      <c r="E143">
        <v>378.61</v>
      </c>
      <c r="F143">
        <v>374.28</v>
      </c>
    </row>
    <row r="144" spans="1:6" x14ac:dyDescent="0.45">
      <c r="A144" s="1">
        <v>44454</v>
      </c>
      <c r="B144">
        <v>378.05</v>
      </c>
      <c r="C144">
        <v>34097870</v>
      </c>
      <c r="D144">
        <v>375.73</v>
      </c>
      <c r="E144">
        <v>378.41</v>
      </c>
      <c r="F144">
        <v>373.37</v>
      </c>
    </row>
    <row r="145" spans="1:6" x14ac:dyDescent="0.45">
      <c r="A145" s="1">
        <v>44455</v>
      </c>
      <c r="B145">
        <v>378.31</v>
      </c>
      <c r="C145">
        <v>35193080</v>
      </c>
      <c r="D145">
        <v>376.68</v>
      </c>
      <c r="E145">
        <v>378.9</v>
      </c>
      <c r="F145">
        <v>374.69499999999999</v>
      </c>
    </row>
    <row r="146" spans="1:6" x14ac:dyDescent="0.45">
      <c r="A146" s="1">
        <v>44456</v>
      </c>
      <c r="B146">
        <v>373.83</v>
      </c>
      <c r="C146">
        <v>60912270</v>
      </c>
      <c r="D146">
        <v>377.82</v>
      </c>
      <c r="E146">
        <v>377.87</v>
      </c>
      <c r="F146">
        <v>372.76</v>
      </c>
    </row>
    <row r="147" spans="1:6" x14ac:dyDescent="0.45">
      <c r="A147" s="1">
        <v>44459</v>
      </c>
      <c r="B147">
        <v>365.7</v>
      </c>
      <c r="C147">
        <v>76203200</v>
      </c>
      <c r="D147">
        <v>367.46</v>
      </c>
      <c r="E147">
        <v>369.25</v>
      </c>
      <c r="F147">
        <v>360.93</v>
      </c>
    </row>
    <row r="148" spans="1:6" x14ac:dyDescent="0.45">
      <c r="A148" s="1">
        <v>44460</v>
      </c>
      <c r="B148">
        <v>366.15</v>
      </c>
      <c r="C148">
        <v>41927480</v>
      </c>
      <c r="D148">
        <v>367.58</v>
      </c>
      <c r="E148">
        <v>368.81</v>
      </c>
      <c r="F148">
        <v>364.99</v>
      </c>
    </row>
    <row r="149" spans="1:6" x14ac:dyDescent="0.45">
      <c r="A149" s="1">
        <v>44461</v>
      </c>
      <c r="B149">
        <v>369.57</v>
      </c>
      <c r="C149">
        <v>46972920</v>
      </c>
      <c r="D149">
        <v>367.09</v>
      </c>
      <c r="E149">
        <v>371.07</v>
      </c>
      <c r="F149">
        <v>365.95839999999998</v>
      </c>
    </row>
    <row r="150" spans="1:6" x14ac:dyDescent="0.45">
      <c r="A150" s="1">
        <v>44462</v>
      </c>
      <c r="B150">
        <v>372.98</v>
      </c>
      <c r="C150">
        <v>44652000</v>
      </c>
      <c r="D150">
        <v>370.76</v>
      </c>
      <c r="E150">
        <v>374.04</v>
      </c>
      <c r="F150">
        <v>370.09899999999999</v>
      </c>
    </row>
    <row r="151" spans="1:6" x14ac:dyDescent="0.45">
      <c r="A151" s="1">
        <v>44463</v>
      </c>
      <c r="B151">
        <v>373.33</v>
      </c>
      <c r="C151">
        <v>36056800</v>
      </c>
      <c r="D151">
        <v>370.65</v>
      </c>
      <c r="E151">
        <v>373.76</v>
      </c>
      <c r="F151">
        <v>370.27</v>
      </c>
    </row>
    <row r="152" spans="1:6" x14ac:dyDescent="0.45">
      <c r="A152" s="1">
        <v>44466</v>
      </c>
      <c r="B152">
        <v>370.35</v>
      </c>
      <c r="C152">
        <v>43338080</v>
      </c>
      <c r="D152">
        <v>370.2</v>
      </c>
      <c r="E152">
        <v>371.2516</v>
      </c>
      <c r="F152">
        <v>367.73</v>
      </c>
    </row>
    <row r="153" spans="1:6" x14ac:dyDescent="0.45">
      <c r="A153" s="1">
        <v>44467</v>
      </c>
      <c r="B153">
        <v>359.87</v>
      </c>
      <c r="C153">
        <v>97701630</v>
      </c>
      <c r="D153">
        <v>365.67</v>
      </c>
      <c r="E153">
        <v>370.30200000000002</v>
      </c>
      <c r="F153">
        <v>359.35</v>
      </c>
    </row>
    <row r="154" spans="1:6" x14ac:dyDescent="0.45">
      <c r="A154" s="1">
        <v>44468</v>
      </c>
      <c r="B154">
        <v>359.28</v>
      </c>
      <c r="C154">
        <v>58076620</v>
      </c>
      <c r="D154">
        <v>361.17</v>
      </c>
      <c r="E154">
        <v>363.37</v>
      </c>
      <c r="F154">
        <v>358.63499999999999</v>
      </c>
    </row>
    <row r="155" spans="1:6" x14ac:dyDescent="0.45">
      <c r="A155" s="1">
        <v>44469</v>
      </c>
      <c r="B155">
        <v>357.96</v>
      </c>
      <c r="C155">
        <v>61384580</v>
      </c>
      <c r="D155">
        <v>360.97</v>
      </c>
      <c r="E155">
        <v>362.68</v>
      </c>
      <c r="F155">
        <v>357.1</v>
      </c>
    </row>
    <row r="156" spans="1:6" x14ac:dyDescent="0.45">
      <c r="A156" s="1">
        <v>44470</v>
      </c>
      <c r="B156">
        <v>360.18</v>
      </c>
      <c r="C156">
        <v>56375490</v>
      </c>
      <c r="D156">
        <v>358.6</v>
      </c>
      <c r="E156">
        <v>361.25</v>
      </c>
      <c r="F156">
        <v>354.38</v>
      </c>
    </row>
    <row r="157" spans="1:6" x14ac:dyDescent="0.45">
      <c r="A157" s="1">
        <v>44473</v>
      </c>
      <c r="B157">
        <v>352.62</v>
      </c>
      <c r="C157">
        <v>76766010</v>
      </c>
      <c r="D157">
        <v>358.52</v>
      </c>
      <c r="E157">
        <v>358.86</v>
      </c>
      <c r="F157">
        <v>350.32</v>
      </c>
    </row>
    <row r="158" spans="1:6" x14ac:dyDescent="0.45">
      <c r="A158" s="1">
        <v>44474</v>
      </c>
      <c r="B158">
        <v>357.38</v>
      </c>
      <c r="C158">
        <v>47232900</v>
      </c>
      <c r="D158">
        <v>353.71</v>
      </c>
      <c r="E158">
        <v>359.69</v>
      </c>
      <c r="F158">
        <v>353.48</v>
      </c>
    </row>
    <row r="159" spans="1:6" x14ac:dyDescent="0.45">
      <c r="A159" s="1">
        <v>44475</v>
      </c>
      <c r="B159">
        <v>359.67</v>
      </c>
      <c r="C159">
        <v>56806540</v>
      </c>
      <c r="D159">
        <v>354.08</v>
      </c>
      <c r="E159">
        <v>359.95</v>
      </c>
      <c r="F159">
        <v>353.15</v>
      </c>
    </row>
    <row r="160" spans="1:6" x14ac:dyDescent="0.45">
      <c r="A160" s="1">
        <v>44476</v>
      </c>
      <c r="B160">
        <v>362.97</v>
      </c>
      <c r="C160">
        <v>39411170</v>
      </c>
      <c r="D160">
        <v>362.8</v>
      </c>
      <c r="E160">
        <v>365.69</v>
      </c>
      <c r="F160">
        <v>362.25</v>
      </c>
    </row>
    <row r="161" spans="1:6" x14ac:dyDescent="0.45">
      <c r="A161" s="1">
        <v>44477</v>
      </c>
      <c r="B161">
        <v>361.16</v>
      </c>
      <c r="C161">
        <v>41822310</v>
      </c>
      <c r="D161">
        <v>364.08</v>
      </c>
      <c r="E161">
        <v>364.31659999999999</v>
      </c>
      <c r="F161">
        <v>360.61</v>
      </c>
    </row>
    <row r="162" spans="1:6" x14ac:dyDescent="0.45">
      <c r="A162" s="1">
        <v>44480</v>
      </c>
      <c r="B162">
        <v>358.39</v>
      </c>
      <c r="C162">
        <v>34847180</v>
      </c>
      <c r="D162">
        <v>359.58</v>
      </c>
      <c r="E162">
        <v>363.2</v>
      </c>
      <c r="F162">
        <v>358.3</v>
      </c>
    </row>
    <row r="163" spans="1:6" x14ac:dyDescent="0.45">
      <c r="A163" s="1">
        <v>44481</v>
      </c>
      <c r="B163">
        <v>357.14</v>
      </c>
      <c r="C163">
        <v>43905100</v>
      </c>
      <c r="D163">
        <v>359.88</v>
      </c>
      <c r="E163">
        <v>360.33</v>
      </c>
      <c r="F163">
        <v>356.48</v>
      </c>
    </row>
    <row r="164" spans="1:6" x14ac:dyDescent="0.45">
      <c r="A164" s="1">
        <v>44482</v>
      </c>
      <c r="B164">
        <v>360</v>
      </c>
      <c r="C164">
        <v>40120800</v>
      </c>
      <c r="D164">
        <v>359.51</v>
      </c>
      <c r="E164">
        <v>360.69</v>
      </c>
      <c r="F164">
        <v>357.43</v>
      </c>
    </row>
    <row r="165" spans="1:6" x14ac:dyDescent="0.45">
      <c r="A165" s="1">
        <v>44483</v>
      </c>
      <c r="B165">
        <v>366.63</v>
      </c>
      <c r="C165">
        <v>43433870</v>
      </c>
      <c r="D165">
        <v>363.69</v>
      </c>
      <c r="E165">
        <v>366.85</v>
      </c>
      <c r="F165">
        <v>363.01</v>
      </c>
    </row>
    <row r="166" spans="1:6" x14ac:dyDescent="0.45">
      <c r="A166" s="1">
        <v>44484</v>
      </c>
      <c r="B166">
        <v>368.94</v>
      </c>
      <c r="C166">
        <v>40419880</v>
      </c>
      <c r="D166">
        <v>367.88</v>
      </c>
      <c r="E166">
        <v>369.06</v>
      </c>
      <c r="F166">
        <v>366.82</v>
      </c>
    </row>
    <row r="167" spans="1:6" x14ac:dyDescent="0.45">
      <c r="A167" s="1">
        <v>44487</v>
      </c>
      <c r="B167">
        <v>372.65</v>
      </c>
      <c r="C167">
        <v>34513510</v>
      </c>
      <c r="D167">
        <v>367.61</v>
      </c>
      <c r="E167">
        <v>372.87</v>
      </c>
      <c r="F167">
        <v>366.99</v>
      </c>
    </row>
    <row r="168" spans="1:6" x14ac:dyDescent="0.45">
      <c r="A168" s="1">
        <v>44488</v>
      </c>
      <c r="B168">
        <v>375.47</v>
      </c>
      <c r="C168">
        <v>29090960</v>
      </c>
      <c r="D168">
        <v>373.75</v>
      </c>
      <c r="E168">
        <v>375.52</v>
      </c>
      <c r="F168">
        <v>372.69740000000002</v>
      </c>
    </row>
    <row r="169" spans="1:6" x14ac:dyDescent="0.45">
      <c r="A169" s="1">
        <v>44489</v>
      </c>
      <c r="B169">
        <v>374.98</v>
      </c>
      <c r="C169">
        <v>31390340</v>
      </c>
      <c r="D169">
        <v>375.94</v>
      </c>
      <c r="E169">
        <v>376.565</v>
      </c>
      <c r="F169">
        <v>373.46</v>
      </c>
    </row>
    <row r="170" spans="1:6" x14ac:dyDescent="0.45">
      <c r="A170" s="1">
        <v>44490</v>
      </c>
      <c r="B170">
        <v>377.27</v>
      </c>
      <c r="C170">
        <v>25469280</v>
      </c>
      <c r="D170">
        <v>374.16</v>
      </c>
      <c r="E170">
        <v>377.47</v>
      </c>
      <c r="F170">
        <v>373.85</v>
      </c>
    </row>
    <row r="171" spans="1:6" x14ac:dyDescent="0.45">
      <c r="A171" s="1">
        <v>44491</v>
      </c>
      <c r="B171">
        <v>374.1</v>
      </c>
      <c r="C171">
        <v>36275820</v>
      </c>
      <c r="D171">
        <v>375.98</v>
      </c>
      <c r="E171">
        <v>376.97</v>
      </c>
      <c r="F171">
        <v>372.38499999999999</v>
      </c>
    </row>
    <row r="172" spans="1:6" x14ac:dyDescent="0.45">
      <c r="A172" s="1">
        <v>44494</v>
      </c>
      <c r="B172">
        <v>377.93</v>
      </c>
      <c r="C172">
        <v>32597800</v>
      </c>
      <c r="D172">
        <v>375.56</v>
      </c>
      <c r="E172">
        <v>378.87</v>
      </c>
      <c r="F172">
        <v>373.56</v>
      </c>
    </row>
    <row r="173" spans="1:6" x14ac:dyDescent="0.45">
      <c r="A173" s="1">
        <v>44495</v>
      </c>
      <c r="B173">
        <v>379.12</v>
      </c>
      <c r="C173">
        <v>47191280</v>
      </c>
      <c r="D173">
        <v>380.23</v>
      </c>
      <c r="E173">
        <v>382.71</v>
      </c>
      <c r="F173">
        <v>377.90499999999997</v>
      </c>
    </row>
    <row r="174" spans="1:6" x14ac:dyDescent="0.45">
      <c r="A174" s="1">
        <v>44496</v>
      </c>
      <c r="B174">
        <v>380</v>
      </c>
      <c r="C174">
        <v>45760500</v>
      </c>
      <c r="D174">
        <v>379.58</v>
      </c>
      <c r="E174">
        <v>383.15</v>
      </c>
      <c r="F174">
        <v>379.31</v>
      </c>
    </row>
    <row r="175" spans="1:6" x14ac:dyDescent="0.45">
      <c r="A175" s="1">
        <v>44497</v>
      </c>
      <c r="B175">
        <v>384.22</v>
      </c>
      <c r="C175">
        <v>38007010</v>
      </c>
      <c r="D175">
        <v>381.95</v>
      </c>
      <c r="E175">
        <v>384.48</v>
      </c>
      <c r="F175">
        <v>381.15499999999997</v>
      </c>
    </row>
    <row r="176" spans="1:6" x14ac:dyDescent="0.45">
      <c r="A176" s="1">
        <v>44498</v>
      </c>
      <c r="B176">
        <v>386.11</v>
      </c>
      <c r="C176">
        <v>37310120</v>
      </c>
      <c r="D176">
        <v>381.06</v>
      </c>
      <c r="E176">
        <v>386.28</v>
      </c>
      <c r="F176">
        <v>380.7</v>
      </c>
    </row>
    <row r="177" spans="1:6" x14ac:dyDescent="0.45">
      <c r="A177" s="1">
        <v>44501</v>
      </c>
      <c r="B177">
        <v>387.43</v>
      </c>
      <c r="C177">
        <v>30765300</v>
      </c>
      <c r="D177">
        <v>386.56</v>
      </c>
      <c r="E177">
        <v>387.56</v>
      </c>
      <c r="F177">
        <v>384.42</v>
      </c>
    </row>
    <row r="178" spans="1:6" x14ac:dyDescent="0.45">
      <c r="A178" s="1">
        <v>44502</v>
      </c>
      <c r="B178">
        <v>389.05</v>
      </c>
      <c r="C178">
        <v>25135290</v>
      </c>
      <c r="D178">
        <v>386.8</v>
      </c>
      <c r="E178">
        <v>389.54</v>
      </c>
      <c r="F178">
        <v>386.75</v>
      </c>
    </row>
    <row r="179" spans="1:6" x14ac:dyDescent="0.45">
      <c r="A179" s="1">
        <v>44503</v>
      </c>
      <c r="B179">
        <v>393.18</v>
      </c>
      <c r="C179">
        <v>33748900</v>
      </c>
      <c r="D179">
        <v>389.55</v>
      </c>
      <c r="E179">
        <v>393.61</v>
      </c>
      <c r="F179">
        <v>388.48</v>
      </c>
    </row>
    <row r="180" spans="1:6" x14ac:dyDescent="0.45">
      <c r="A180" s="1">
        <v>44504</v>
      </c>
      <c r="B180">
        <v>398.22</v>
      </c>
      <c r="C180">
        <v>40265310</v>
      </c>
      <c r="D180">
        <v>394.48</v>
      </c>
      <c r="E180">
        <v>399.2</v>
      </c>
      <c r="F180">
        <v>393.92</v>
      </c>
    </row>
    <row r="181" spans="1:6" x14ac:dyDescent="0.45">
      <c r="A181" s="1">
        <v>44505</v>
      </c>
      <c r="B181">
        <v>398.6</v>
      </c>
      <c r="C181">
        <v>43383800</v>
      </c>
      <c r="D181">
        <v>400.04</v>
      </c>
      <c r="E181">
        <v>400.99</v>
      </c>
      <c r="F181">
        <v>397.16</v>
      </c>
    </row>
    <row r="182" spans="1:6" x14ac:dyDescent="0.45">
      <c r="A182" s="1">
        <v>44508</v>
      </c>
      <c r="B182">
        <v>398.06</v>
      </c>
      <c r="C182">
        <v>29256270</v>
      </c>
      <c r="D182">
        <v>398.57</v>
      </c>
      <c r="E182">
        <v>399.62</v>
      </c>
      <c r="F182">
        <v>397.4</v>
      </c>
    </row>
    <row r="183" spans="1:6" x14ac:dyDescent="0.45">
      <c r="A183" s="1">
        <v>44509</v>
      </c>
      <c r="B183">
        <v>395.32</v>
      </c>
      <c r="C183">
        <v>50490720</v>
      </c>
      <c r="D183">
        <v>399.16</v>
      </c>
      <c r="E183">
        <v>399.57</v>
      </c>
      <c r="F183">
        <v>393.92</v>
      </c>
    </row>
    <row r="184" spans="1:6" x14ac:dyDescent="0.45">
      <c r="A184" s="1">
        <v>44510</v>
      </c>
      <c r="B184">
        <v>389.51</v>
      </c>
      <c r="C184">
        <v>54937390</v>
      </c>
      <c r="D184">
        <v>392.47</v>
      </c>
      <c r="E184">
        <v>395.36</v>
      </c>
      <c r="F184">
        <v>387.53</v>
      </c>
    </row>
    <row r="185" spans="1:6" x14ac:dyDescent="0.45">
      <c r="A185" s="1">
        <v>44511</v>
      </c>
      <c r="B185">
        <v>390.59</v>
      </c>
      <c r="C185">
        <v>32242980</v>
      </c>
      <c r="D185">
        <v>392.57</v>
      </c>
      <c r="E185">
        <v>392.75</v>
      </c>
      <c r="F185">
        <v>390.24</v>
      </c>
    </row>
    <row r="186" spans="1:6" x14ac:dyDescent="0.45">
      <c r="A186" s="1">
        <v>44512</v>
      </c>
      <c r="B186">
        <v>394.7</v>
      </c>
      <c r="C186">
        <v>34730560</v>
      </c>
      <c r="D186">
        <v>391.77</v>
      </c>
      <c r="E186">
        <v>395.25</v>
      </c>
      <c r="F186">
        <v>390.13</v>
      </c>
    </row>
    <row r="187" spans="1:6" x14ac:dyDescent="0.45">
      <c r="A187" s="1">
        <v>44515</v>
      </c>
      <c r="B187">
        <v>394.61</v>
      </c>
      <c r="C187">
        <v>33716860</v>
      </c>
      <c r="D187">
        <v>395.91</v>
      </c>
      <c r="E187">
        <v>396.24</v>
      </c>
      <c r="F187">
        <v>392.09500000000003</v>
      </c>
    </row>
    <row r="188" spans="1:6" x14ac:dyDescent="0.45">
      <c r="A188" s="1">
        <v>44516</v>
      </c>
      <c r="B188">
        <v>397.42</v>
      </c>
      <c r="C188">
        <v>27872940</v>
      </c>
      <c r="D188">
        <v>393.86</v>
      </c>
      <c r="E188">
        <v>397.93</v>
      </c>
      <c r="F188">
        <v>393.66</v>
      </c>
    </row>
    <row r="189" spans="1:6" x14ac:dyDescent="0.45">
      <c r="A189" s="1">
        <v>44517</v>
      </c>
      <c r="B189">
        <v>397.63</v>
      </c>
      <c r="C189">
        <v>28703260</v>
      </c>
      <c r="D189">
        <v>397.75</v>
      </c>
      <c r="E189">
        <v>399.71960000000001</v>
      </c>
      <c r="F189">
        <v>396.64</v>
      </c>
    </row>
    <row r="190" spans="1:6" x14ac:dyDescent="0.45">
      <c r="A190" s="1">
        <v>44518</v>
      </c>
      <c r="B190">
        <v>401.75</v>
      </c>
      <c r="C190">
        <v>45721520</v>
      </c>
      <c r="D190">
        <v>399.73</v>
      </c>
      <c r="E190">
        <v>402.27</v>
      </c>
      <c r="F190">
        <v>397.45</v>
      </c>
    </row>
    <row r="191" spans="1:6" x14ac:dyDescent="0.45">
      <c r="A191" s="1">
        <v>44519</v>
      </c>
      <c r="B191">
        <v>403.99</v>
      </c>
      <c r="C191">
        <v>45191720</v>
      </c>
      <c r="D191">
        <v>403.43</v>
      </c>
      <c r="E191">
        <v>405.3</v>
      </c>
      <c r="F191">
        <v>402.58</v>
      </c>
    </row>
    <row r="192" spans="1:6" x14ac:dyDescent="0.45">
      <c r="A192" s="1">
        <v>44522</v>
      </c>
      <c r="B192">
        <v>399.3</v>
      </c>
      <c r="C192">
        <v>61715370</v>
      </c>
      <c r="D192">
        <v>405.57</v>
      </c>
      <c r="E192">
        <v>408.71</v>
      </c>
      <c r="F192">
        <v>399.19</v>
      </c>
    </row>
    <row r="193" spans="1:6" x14ac:dyDescent="0.45">
      <c r="A193" s="1">
        <v>44523</v>
      </c>
      <c r="B193">
        <v>397.48</v>
      </c>
      <c r="C193">
        <v>70098740</v>
      </c>
      <c r="D193">
        <v>398.11</v>
      </c>
      <c r="E193">
        <v>400.23</v>
      </c>
      <c r="F193">
        <v>392.92</v>
      </c>
    </row>
    <row r="194" spans="1:6" x14ac:dyDescent="0.45">
      <c r="A194" s="1">
        <v>44524</v>
      </c>
      <c r="B194">
        <v>398.76</v>
      </c>
      <c r="C194">
        <v>46954380</v>
      </c>
      <c r="D194">
        <v>394.93</v>
      </c>
      <c r="E194">
        <v>399.05</v>
      </c>
      <c r="F194">
        <v>392.54</v>
      </c>
    </row>
    <row r="195" spans="1:6" x14ac:dyDescent="0.45">
      <c r="A195" s="1">
        <v>44526</v>
      </c>
      <c r="B195">
        <v>391.2</v>
      </c>
      <c r="C195">
        <v>51533310</v>
      </c>
      <c r="D195">
        <v>396.11</v>
      </c>
      <c r="E195">
        <v>397.54</v>
      </c>
      <c r="F195">
        <v>389.77</v>
      </c>
    </row>
    <row r="196" spans="1:6" x14ac:dyDescent="0.45">
      <c r="A196" s="1">
        <v>44529</v>
      </c>
      <c r="B196">
        <v>399.69</v>
      </c>
      <c r="C196">
        <v>54447110</v>
      </c>
      <c r="D196">
        <v>395.89</v>
      </c>
      <c r="E196">
        <v>400.73</v>
      </c>
      <c r="F196">
        <v>395.14</v>
      </c>
    </row>
    <row r="197" spans="1:6" x14ac:dyDescent="0.45">
      <c r="A197" s="1">
        <v>44530</v>
      </c>
      <c r="B197">
        <v>393.82</v>
      </c>
      <c r="C197">
        <v>81332690</v>
      </c>
      <c r="D197">
        <v>398.78</v>
      </c>
      <c r="E197">
        <v>401.19</v>
      </c>
      <c r="F197">
        <v>391.75</v>
      </c>
    </row>
    <row r="198" spans="1:6" x14ac:dyDescent="0.45">
      <c r="A198" s="1">
        <v>44531</v>
      </c>
      <c r="B198">
        <v>387.12</v>
      </c>
      <c r="C198">
        <v>78379250</v>
      </c>
      <c r="D198">
        <v>398.28</v>
      </c>
      <c r="E198">
        <v>400.48</v>
      </c>
      <c r="F198">
        <v>386.64</v>
      </c>
    </row>
    <row r="199" spans="1:6" x14ac:dyDescent="0.45">
      <c r="A199" s="1">
        <v>44532</v>
      </c>
      <c r="B199">
        <v>389.91</v>
      </c>
      <c r="C199">
        <v>84416620</v>
      </c>
      <c r="D199">
        <v>385.8</v>
      </c>
      <c r="E199">
        <v>391.74</v>
      </c>
      <c r="F199">
        <v>384.34</v>
      </c>
    </row>
    <row r="200" spans="1:6" x14ac:dyDescent="0.45">
      <c r="A200" s="1">
        <v>44533</v>
      </c>
      <c r="B200">
        <v>383.13</v>
      </c>
      <c r="C200">
        <v>105349100</v>
      </c>
      <c r="D200">
        <v>391.31</v>
      </c>
      <c r="E200">
        <v>392.34</v>
      </c>
      <c r="F200">
        <v>378.9</v>
      </c>
    </row>
    <row r="201" spans="1:6" x14ac:dyDescent="0.45">
      <c r="A201" s="1">
        <v>44536</v>
      </c>
      <c r="B201">
        <v>386.2</v>
      </c>
      <c r="C201">
        <v>67588800</v>
      </c>
      <c r="D201">
        <v>383.63</v>
      </c>
      <c r="E201">
        <v>387.6</v>
      </c>
      <c r="F201">
        <v>379.3</v>
      </c>
    </row>
    <row r="202" spans="1:6" x14ac:dyDescent="0.45">
      <c r="A202" s="1">
        <v>44537</v>
      </c>
      <c r="B202">
        <v>397.83</v>
      </c>
      <c r="C202">
        <v>56005260</v>
      </c>
      <c r="D202">
        <v>393.03</v>
      </c>
      <c r="E202">
        <v>398.46</v>
      </c>
      <c r="F202">
        <v>392.99</v>
      </c>
    </row>
    <row r="203" spans="1:6" x14ac:dyDescent="0.45">
      <c r="A203" s="1">
        <v>44538</v>
      </c>
      <c r="B203">
        <v>399.61</v>
      </c>
      <c r="C203">
        <v>39204040</v>
      </c>
      <c r="D203">
        <v>398.17</v>
      </c>
      <c r="E203">
        <v>399.82</v>
      </c>
      <c r="F203">
        <v>396.22</v>
      </c>
    </row>
    <row r="204" spans="1:6" x14ac:dyDescent="0.45">
      <c r="A204" s="1">
        <v>44539</v>
      </c>
      <c r="B204">
        <v>393.73</v>
      </c>
      <c r="C204">
        <v>49973710</v>
      </c>
      <c r="D204">
        <v>398.35</v>
      </c>
      <c r="E204">
        <v>400.2</v>
      </c>
      <c r="F204">
        <v>393.5299</v>
      </c>
    </row>
    <row r="205" spans="1:6" x14ac:dyDescent="0.45">
      <c r="A205" s="1">
        <v>44540</v>
      </c>
      <c r="B205">
        <v>398.01</v>
      </c>
      <c r="C205">
        <v>52545770</v>
      </c>
      <c r="D205">
        <v>396.62</v>
      </c>
      <c r="E205">
        <v>398.28</v>
      </c>
      <c r="F205">
        <v>393.36</v>
      </c>
    </row>
    <row r="206" spans="1:6" x14ac:dyDescent="0.45">
      <c r="A206" s="1">
        <v>44543</v>
      </c>
      <c r="B206">
        <v>392.26</v>
      </c>
      <c r="C206">
        <v>50166410</v>
      </c>
      <c r="D206">
        <v>398</v>
      </c>
      <c r="E206">
        <v>398.32499999999999</v>
      </c>
      <c r="F206">
        <v>391.88</v>
      </c>
    </row>
    <row r="207" spans="1:6" x14ac:dyDescent="0.45">
      <c r="A207" s="1">
        <v>44544</v>
      </c>
      <c r="B207">
        <v>388.2</v>
      </c>
      <c r="C207">
        <v>75199180</v>
      </c>
      <c r="D207">
        <v>387.3</v>
      </c>
      <c r="E207">
        <v>390.09</v>
      </c>
      <c r="F207">
        <v>383.63</v>
      </c>
    </row>
    <row r="208" spans="1:6" x14ac:dyDescent="0.45">
      <c r="A208" s="1">
        <v>44545</v>
      </c>
      <c r="B208">
        <v>397.05</v>
      </c>
      <c r="C208">
        <v>73858030</v>
      </c>
      <c r="D208">
        <v>387.94</v>
      </c>
      <c r="E208">
        <v>397.41980000000001</v>
      </c>
      <c r="F208">
        <v>383.88</v>
      </c>
    </row>
    <row r="209" spans="1:6" x14ac:dyDescent="0.45">
      <c r="A209" s="1">
        <v>44546</v>
      </c>
      <c r="B209">
        <v>386.84</v>
      </c>
      <c r="C209">
        <v>82591370</v>
      </c>
      <c r="D209">
        <v>398.04</v>
      </c>
      <c r="E209">
        <v>398.47500000000002</v>
      </c>
      <c r="F209">
        <v>385.21</v>
      </c>
    </row>
    <row r="210" spans="1:6" x14ac:dyDescent="0.45">
      <c r="A210" s="1">
        <v>44547</v>
      </c>
      <c r="B210">
        <v>384.91</v>
      </c>
      <c r="C210">
        <v>81642850</v>
      </c>
      <c r="D210">
        <v>383.33</v>
      </c>
      <c r="E210">
        <v>389.19</v>
      </c>
      <c r="F210">
        <v>381.77</v>
      </c>
    </row>
    <row r="211" spans="1:6" x14ac:dyDescent="0.45">
      <c r="A211" s="1">
        <v>44550</v>
      </c>
      <c r="B211">
        <v>380.69</v>
      </c>
      <c r="C211">
        <v>65336830</v>
      </c>
      <c r="D211">
        <v>379.565</v>
      </c>
      <c r="E211">
        <v>381.5</v>
      </c>
      <c r="F211">
        <v>377.47</v>
      </c>
    </row>
    <row r="212" spans="1:6" x14ac:dyDescent="0.45">
      <c r="A212" s="1">
        <v>44551</v>
      </c>
      <c r="B212">
        <v>389.21</v>
      </c>
      <c r="C212">
        <v>48899480</v>
      </c>
      <c r="D212">
        <v>384.05</v>
      </c>
      <c r="E212">
        <v>389.53</v>
      </c>
      <c r="F212">
        <v>380.20100000000002</v>
      </c>
    </row>
    <row r="213" spans="1:6" x14ac:dyDescent="0.45">
      <c r="A213" s="1">
        <v>44552</v>
      </c>
      <c r="B213">
        <v>393.95</v>
      </c>
      <c r="C213">
        <v>37042200</v>
      </c>
      <c r="D213">
        <v>388.91</v>
      </c>
      <c r="E213">
        <v>394.16</v>
      </c>
      <c r="F213">
        <v>388.23</v>
      </c>
    </row>
    <row r="214" spans="1:6" x14ac:dyDescent="0.45">
      <c r="A214" s="1">
        <v>44553</v>
      </c>
      <c r="B214">
        <v>396.92</v>
      </c>
      <c r="C214">
        <v>29595540</v>
      </c>
      <c r="D214">
        <v>394.31</v>
      </c>
      <c r="E214">
        <v>398.42500000000001</v>
      </c>
      <c r="F214">
        <v>394.14</v>
      </c>
    </row>
    <row r="215" spans="1:6" x14ac:dyDescent="0.45">
      <c r="A215" s="1">
        <v>44557</v>
      </c>
      <c r="B215">
        <v>403.48</v>
      </c>
      <c r="C215">
        <v>32820710</v>
      </c>
      <c r="D215">
        <v>398.25</v>
      </c>
      <c r="E215">
        <v>403.48</v>
      </c>
      <c r="F215">
        <v>398.21940000000001</v>
      </c>
    </row>
    <row r="216" spans="1:6" x14ac:dyDescent="0.45">
      <c r="A216" s="1">
        <v>44558</v>
      </c>
      <c r="B216">
        <v>401.61</v>
      </c>
      <c r="C216">
        <v>33113730</v>
      </c>
      <c r="D216">
        <v>404.4</v>
      </c>
      <c r="E216">
        <v>404.58</v>
      </c>
      <c r="F216">
        <v>400.71</v>
      </c>
    </row>
    <row r="217" spans="1:6" x14ac:dyDescent="0.45">
      <c r="A217" s="1">
        <v>44559</v>
      </c>
      <c r="B217">
        <v>401.55</v>
      </c>
      <c r="C217">
        <v>32248480</v>
      </c>
      <c r="D217">
        <v>401.75</v>
      </c>
      <c r="E217">
        <v>403.05</v>
      </c>
      <c r="F217">
        <v>399.11</v>
      </c>
    </row>
    <row r="218" spans="1:6" x14ac:dyDescent="0.45">
      <c r="A218" s="1">
        <v>44560</v>
      </c>
      <c r="B218">
        <v>400.35</v>
      </c>
      <c r="C218">
        <v>23850070</v>
      </c>
      <c r="D218">
        <v>401.33</v>
      </c>
      <c r="E218">
        <v>403.56990000000002</v>
      </c>
      <c r="F218">
        <v>399.75</v>
      </c>
    </row>
    <row r="219" spans="1:6" x14ac:dyDescent="0.45">
      <c r="A219" s="1">
        <v>44561</v>
      </c>
      <c r="B219">
        <v>397.85</v>
      </c>
      <c r="C219">
        <v>34752880</v>
      </c>
      <c r="D219">
        <v>399.66</v>
      </c>
      <c r="E219">
        <v>401.05889999999999</v>
      </c>
      <c r="F219">
        <v>397.34</v>
      </c>
    </row>
    <row r="220" spans="1:6" x14ac:dyDescent="0.45">
      <c r="A220" s="1">
        <v>44564</v>
      </c>
      <c r="B220">
        <v>401.68</v>
      </c>
      <c r="C220">
        <v>40575850</v>
      </c>
      <c r="D220">
        <v>399.05</v>
      </c>
      <c r="E220">
        <v>401.94</v>
      </c>
      <c r="F220">
        <v>396.88</v>
      </c>
    </row>
    <row r="221" spans="1:6" x14ac:dyDescent="0.45">
      <c r="A221" s="1">
        <v>44565</v>
      </c>
      <c r="B221">
        <v>396.47</v>
      </c>
      <c r="C221">
        <v>58027210</v>
      </c>
      <c r="D221">
        <v>402.24</v>
      </c>
      <c r="E221">
        <v>402.28</v>
      </c>
      <c r="F221">
        <v>393.28800000000001</v>
      </c>
    </row>
    <row r="222" spans="1:6" x14ac:dyDescent="0.45">
      <c r="A222" s="1">
        <v>44566</v>
      </c>
      <c r="B222">
        <v>384.29</v>
      </c>
      <c r="C222">
        <v>75739850</v>
      </c>
      <c r="D222">
        <v>394.74</v>
      </c>
      <c r="E222">
        <v>395.89</v>
      </c>
      <c r="F222">
        <v>384.03</v>
      </c>
    </row>
    <row r="223" spans="1:6" x14ac:dyDescent="0.45">
      <c r="A223" s="1">
        <v>44567</v>
      </c>
      <c r="B223">
        <v>384.02</v>
      </c>
      <c r="C223">
        <v>70814320</v>
      </c>
      <c r="D223">
        <v>382.42</v>
      </c>
      <c r="E223">
        <v>387.35</v>
      </c>
      <c r="F223">
        <v>380.13</v>
      </c>
    </row>
    <row r="224" spans="1:6" x14ac:dyDescent="0.45">
      <c r="A224" s="1">
        <v>44568</v>
      </c>
      <c r="B224">
        <v>379.86</v>
      </c>
      <c r="C224">
        <v>72652300</v>
      </c>
      <c r="D224">
        <v>384.03</v>
      </c>
      <c r="E224">
        <v>385.76</v>
      </c>
      <c r="F224">
        <v>378.04</v>
      </c>
    </row>
    <row r="225" spans="1:6" x14ac:dyDescent="0.45">
      <c r="A225" s="1">
        <v>44571</v>
      </c>
      <c r="B225">
        <v>380.11</v>
      </c>
      <c r="C225">
        <v>91770500</v>
      </c>
      <c r="D225">
        <v>374.82</v>
      </c>
      <c r="E225">
        <v>380.64</v>
      </c>
      <c r="F225">
        <v>369.31</v>
      </c>
    </row>
    <row r="226" spans="1:6" x14ac:dyDescent="0.45">
      <c r="A226" s="1">
        <v>44572</v>
      </c>
      <c r="B226">
        <v>385.82</v>
      </c>
      <c r="C226">
        <v>68295700</v>
      </c>
      <c r="D226">
        <v>379.35500000000002</v>
      </c>
      <c r="E226">
        <v>385.98989999999998</v>
      </c>
      <c r="F226">
        <v>377.21820000000002</v>
      </c>
    </row>
    <row r="227" spans="1:6" x14ac:dyDescent="0.45">
      <c r="A227" s="1">
        <v>44573</v>
      </c>
      <c r="B227">
        <v>387.35</v>
      </c>
      <c r="C227">
        <v>54576370</v>
      </c>
      <c r="D227">
        <v>388.46</v>
      </c>
      <c r="E227">
        <v>390.2</v>
      </c>
      <c r="F227">
        <v>385.01</v>
      </c>
    </row>
    <row r="228" spans="1:6" x14ac:dyDescent="0.45">
      <c r="A228" s="1">
        <v>44574</v>
      </c>
      <c r="B228">
        <v>377.66</v>
      </c>
      <c r="C228">
        <v>77993960</v>
      </c>
      <c r="D228">
        <v>388.77</v>
      </c>
      <c r="E228">
        <v>389.47</v>
      </c>
      <c r="F228">
        <v>376.7</v>
      </c>
    </row>
    <row r="229" spans="1:6" x14ac:dyDescent="0.45">
      <c r="A229" s="1">
        <v>44575</v>
      </c>
      <c r="B229">
        <v>380.01</v>
      </c>
      <c r="C229">
        <v>80121210</v>
      </c>
      <c r="D229">
        <v>375.07</v>
      </c>
      <c r="E229">
        <v>380.35</v>
      </c>
      <c r="F229">
        <v>374.86</v>
      </c>
    </row>
    <row r="230" spans="1:6" x14ac:dyDescent="0.45">
      <c r="A230" s="1">
        <v>44579</v>
      </c>
      <c r="B230">
        <v>370.55</v>
      </c>
      <c r="C230">
        <v>75812300</v>
      </c>
      <c r="D230">
        <v>374.04</v>
      </c>
      <c r="E230">
        <v>376.22</v>
      </c>
      <c r="F230">
        <v>369.7704</v>
      </c>
    </row>
    <row r="231" spans="1:6" x14ac:dyDescent="0.45">
      <c r="A231" s="1">
        <v>44580</v>
      </c>
      <c r="B231">
        <v>366.48</v>
      </c>
      <c r="C231">
        <v>81791480</v>
      </c>
      <c r="D231">
        <v>372.15</v>
      </c>
      <c r="E231">
        <v>374.69</v>
      </c>
      <c r="F231">
        <v>366.21</v>
      </c>
    </row>
    <row r="232" spans="1:6" x14ac:dyDescent="0.45">
      <c r="A232" s="1">
        <v>44581</v>
      </c>
      <c r="B232">
        <v>361.72</v>
      </c>
      <c r="C232">
        <v>88610680</v>
      </c>
      <c r="D232">
        <v>369.79</v>
      </c>
      <c r="E232">
        <v>373.87</v>
      </c>
      <c r="F232">
        <v>361.17</v>
      </c>
    </row>
    <row r="233" spans="1:6" x14ac:dyDescent="0.45">
      <c r="A233" s="1">
        <v>44582</v>
      </c>
      <c r="B233">
        <v>351.69</v>
      </c>
      <c r="C233">
        <v>143388900</v>
      </c>
      <c r="D233">
        <v>359.47</v>
      </c>
      <c r="E233">
        <v>362.18</v>
      </c>
      <c r="F233">
        <v>351.4</v>
      </c>
    </row>
    <row r="234" spans="1:6" x14ac:dyDescent="0.45">
      <c r="A234" s="1">
        <v>44585</v>
      </c>
      <c r="B234">
        <v>353.3</v>
      </c>
      <c r="C234">
        <v>199448100</v>
      </c>
      <c r="D234">
        <v>345.90499999999997</v>
      </c>
      <c r="E234">
        <v>353.98</v>
      </c>
      <c r="F234">
        <v>334.15</v>
      </c>
    </row>
    <row r="235" spans="1:6" x14ac:dyDescent="0.45">
      <c r="A235" s="1">
        <v>44586</v>
      </c>
      <c r="B235">
        <v>345.11</v>
      </c>
      <c r="C235">
        <v>124398400</v>
      </c>
      <c r="D235">
        <v>346.67</v>
      </c>
      <c r="E235">
        <v>351.02949999999998</v>
      </c>
      <c r="F235">
        <v>341.68</v>
      </c>
    </row>
    <row r="236" spans="1:6" x14ac:dyDescent="0.45">
      <c r="A236" s="1">
        <v>44587</v>
      </c>
      <c r="B236">
        <v>344.57</v>
      </c>
      <c r="C236">
        <v>146559500</v>
      </c>
      <c r="D236">
        <v>352.91</v>
      </c>
      <c r="E236">
        <v>356.88</v>
      </c>
      <c r="F236">
        <v>340.78</v>
      </c>
    </row>
    <row r="237" spans="1:6" x14ac:dyDescent="0.45">
      <c r="A237" s="1">
        <v>44588</v>
      </c>
      <c r="B237">
        <v>341.1</v>
      </c>
      <c r="C237">
        <v>95255660</v>
      </c>
      <c r="D237">
        <v>349.4</v>
      </c>
      <c r="E237">
        <v>351.27</v>
      </c>
      <c r="F237">
        <v>340.05</v>
      </c>
    </row>
    <row r="238" spans="1:6" x14ac:dyDescent="0.45">
      <c r="A238" s="1">
        <v>44589</v>
      </c>
      <c r="B238">
        <v>351.8</v>
      </c>
      <c r="C238">
        <v>108167900</v>
      </c>
      <c r="D238">
        <v>343.03</v>
      </c>
      <c r="E238">
        <v>352.02</v>
      </c>
      <c r="F238">
        <v>337.95</v>
      </c>
    </row>
    <row r="239" spans="1:6" x14ac:dyDescent="0.45">
      <c r="A239" s="1">
        <v>44592</v>
      </c>
      <c r="B239">
        <v>363.05</v>
      </c>
      <c r="C239">
        <v>94326390</v>
      </c>
      <c r="D239">
        <v>353.2</v>
      </c>
      <c r="E239">
        <v>363.65</v>
      </c>
      <c r="F239">
        <v>351.52</v>
      </c>
    </row>
    <row r="240" spans="1:6" x14ac:dyDescent="0.45">
      <c r="A240" s="1">
        <v>44593</v>
      </c>
      <c r="B240">
        <v>365.52</v>
      </c>
      <c r="C240">
        <v>74433020</v>
      </c>
      <c r="D240">
        <v>364.43</v>
      </c>
      <c r="E240">
        <v>366.19</v>
      </c>
      <c r="F240">
        <v>359.14</v>
      </c>
    </row>
    <row r="241" spans="1:6" x14ac:dyDescent="0.45">
      <c r="A241" s="1">
        <v>44594</v>
      </c>
      <c r="B241">
        <v>368.49</v>
      </c>
      <c r="C241">
        <v>78777140</v>
      </c>
      <c r="D241">
        <v>369.76</v>
      </c>
      <c r="E241">
        <v>370.1</v>
      </c>
      <c r="F241">
        <v>364.28500000000003</v>
      </c>
    </row>
    <row r="242" spans="1:6" x14ac:dyDescent="0.45">
      <c r="A242" s="1">
        <v>44595</v>
      </c>
      <c r="B242">
        <v>353.55</v>
      </c>
      <c r="C242">
        <v>95384770</v>
      </c>
      <c r="D242">
        <v>358.53</v>
      </c>
      <c r="E242">
        <v>361.93</v>
      </c>
      <c r="F242">
        <v>352.46</v>
      </c>
    </row>
    <row r="243" spans="1:6" x14ac:dyDescent="0.45">
      <c r="A243" s="1">
        <v>44596</v>
      </c>
      <c r="B243">
        <v>358.01</v>
      </c>
      <c r="C243">
        <v>86318300</v>
      </c>
      <c r="D243">
        <v>354.08</v>
      </c>
      <c r="E243">
        <v>361.4</v>
      </c>
      <c r="F243">
        <v>351.97</v>
      </c>
    </row>
    <row r="244" spans="1:6" x14ac:dyDescent="0.45">
      <c r="A244" s="1">
        <v>44599</v>
      </c>
      <c r="B244">
        <v>355.13</v>
      </c>
      <c r="C244">
        <v>58198090</v>
      </c>
      <c r="D244">
        <v>358.62</v>
      </c>
      <c r="E244">
        <v>361.05</v>
      </c>
      <c r="F244">
        <v>353.84</v>
      </c>
    </row>
    <row r="245" spans="1:6" x14ac:dyDescent="0.45">
      <c r="A245" s="1">
        <v>44600</v>
      </c>
      <c r="B245">
        <v>359.12</v>
      </c>
      <c r="C245">
        <v>64720900</v>
      </c>
      <c r="D245">
        <v>353.96</v>
      </c>
      <c r="E245">
        <v>360.24</v>
      </c>
      <c r="F245">
        <v>352.8</v>
      </c>
    </row>
    <row r="246" spans="1:6" x14ac:dyDescent="0.45">
      <c r="A246" s="1">
        <v>44601</v>
      </c>
      <c r="B246">
        <v>366.73</v>
      </c>
      <c r="C246">
        <v>55766420</v>
      </c>
      <c r="D246">
        <v>363.76</v>
      </c>
      <c r="E246">
        <v>366.81</v>
      </c>
      <c r="F246">
        <v>362.12</v>
      </c>
    </row>
    <row r="247" spans="1:6" x14ac:dyDescent="0.45">
      <c r="A247" s="1">
        <v>44602</v>
      </c>
      <c r="B247">
        <v>358.43</v>
      </c>
      <c r="C247">
        <v>112468500</v>
      </c>
      <c r="D247">
        <v>359.52</v>
      </c>
      <c r="E247">
        <v>366.48849999999999</v>
      </c>
      <c r="F247">
        <v>356.54</v>
      </c>
    </row>
    <row r="248" spans="1:6" x14ac:dyDescent="0.45">
      <c r="A248" s="1">
        <v>44603</v>
      </c>
      <c r="B248">
        <v>347.06</v>
      </c>
      <c r="C248">
        <v>101569100</v>
      </c>
      <c r="D248">
        <v>358.43</v>
      </c>
      <c r="E248">
        <v>360.07</v>
      </c>
      <c r="F248">
        <v>345.8</v>
      </c>
    </row>
    <row r="249" spans="1:6" x14ac:dyDescent="0.45">
      <c r="A249" s="1">
        <v>44606</v>
      </c>
      <c r="B249">
        <v>347.49</v>
      </c>
      <c r="C249">
        <v>80254440</v>
      </c>
      <c r="D249">
        <v>346.49</v>
      </c>
      <c r="E249">
        <v>350.98</v>
      </c>
      <c r="F249">
        <v>343.89</v>
      </c>
    </row>
    <row r="250" spans="1:6" x14ac:dyDescent="0.45">
      <c r="A250" s="1">
        <v>44607</v>
      </c>
      <c r="B250">
        <v>356.13</v>
      </c>
      <c r="C250">
        <v>55390810</v>
      </c>
      <c r="D250">
        <v>352.91</v>
      </c>
      <c r="E250">
        <v>356.37</v>
      </c>
      <c r="F250">
        <v>351.82</v>
      </c>
    </row>
    <row r="251" spans="1:6" x14ac:dyDescent="0.45">
      <c r="A251" s="1">
        <v>44608</v>
      </c>
      <c r="B251">
        <v>356.04</v>
      </c>
      <c r="C251">
        <v>58947090</v>
      </c>
      <c r="D251">
        <v>353.82</v>
      </c>
      <c r="E251">
        <v>357.08960000000002</v>
      </c>
      <c r="F251">
        <v>350.71</v>
      </c>
    </row>
    <row r="252" spans="1:6" x14ac:dyDescent="0.45">
      <c r="A252" s="1">
        <v>44609</v>
      </c>
      <c r="B252">
        <v>345.45</v>
      </c>
      <c r="C252">
        <v>61801350</v>
      </c>
      <c r="D252">
        <v>352.74</v>
      </c>
      <c r="E252">
        <v>353.46</v>
      </c>
      <c r="F252">
        <v>345.02</v>
      </c>
    </row>
    <row r="253" spans="1:6" x14ac:dyDescent="0.45">
      <c r="A253" s="1">
        <v>44610</v>
      </c>
      <c r="B253">
        <v>341.51</v>
      </c>
      <c r="C253">
        <v>80001510</v>
      </c>
      <c r="D253">
        <v>346.41</v>
      </c>
      <c r="E253">
        <v>346.81</v>
      </c>
      <c r="F253">
        <v>339.14</v>
      </c>
    </row>
    <row r="254" spans="1:6" x14ac:dyDescent="0.45">
      <c r="A254" s="1">
        <v>44614</v>
      </c>
      <c r="B254">
        <v>338.08</v>
      </c>
      <c r="C254">
        <v>85967100</v>
      </c>
      <c r="D254">
        <v>338.49</v>
      </c>
      <c r="E254">
        <v>344.04</v>
      </c>
      <c r="F254">
        <v>334.35</v>
      </c>
    </row>
    <row r="255" spans="1:6" x14ac:dyDescent="0.45">
      <c r="A255" s="1">
        <v>44615</v>
      </c>
      <c r="B255">
        <v>329.42</v>
      </c>
      <c r="C255">
        <v>86215370</v>
      </c>
      <c r="D255">
        <v>341.32</v>
      </c>
      <c r="E255">
        <v>342.18299999999999</v>
      </c>
      <c r="F255">
        <v>329.1</v>
      </c>
    </row>
    <row r="256" spans="1:6" x14ac:dyDescent="0.45">
      <c r="A256" s="1">
        <v>44616</v>
      </c>
      <c r="B256">
        <v>340.49</v>
      </c>
      <c r="C256">
        <v>130614100</v>
      </c>
      <c r="D256">
        <v>318.83999999999997</v>
      </c>
      <c r="E256">
        <v>341.04</v>
      </c>
      <c r="F256">
        <v>318.26</v>
      </c>
    </row>
    <row r="257" spans="1:6" x14ac:dyDescent="0.45">
      <c r="A257" s="1">
        <v>44617</v>
      </c>
      <c r="B257">
        <v>345.77</v>
      </c>
      <c r="C257">
        <v>78842090</v>
      </c>
      <c r="D257">
        <v>341.31</v>
      </c>
      <c r="E257">
        <v>345.98</v>
      </c>
      <c r="F257">
        <v>337.39</v>
      </c>
    </row>
    <row r="258" spans="1:6" x14ac:dyDescent="0.45">
      <c r="A258" s="1">
        <v>44620</v>
      </c>
      <c r="B258">
        <v>346.8</v>
      </c>
      <c r="C258">
        <v>77515540</v>
      </c>
      <c r="D258">
        <v>342.51</v>
      </c>
      <c r="E258">
        <v>348.54</v>
      </c>
      <c r="F258">
        <v>341.32</v>
      </c>
    </row>
    <row r="259" spans="1:6" x14ac:dyDescent="0.45">
      <c r="A259" s="1">
        <v>44621</v>
      </c>
      <c r="B259">
        <v>341.49</v>
      </c>
      <c r="C259">
        <v>67407000</v>
      </c>
      <c r="D259">
        <v>345.75</v>
      </c>
      <c r="E259">
        <v>348.07799999999997</v>
      </c>
      <c r="F259">
        <v>338.9</v>
      </c>
    </row>
    <row r="260" spans="1:6" x14ac:dyDescent="0.45">
      <c r="A260" s="1">
        <v>44622</v>
      </c>
      <c r="B260">
        <v>347.22</v>
      </c>
      <c r="C260">
        <v>70609020</v>
      </c>
      <c r="D260">
        <v>343.08</v>
      </c>
      <c r="E260">
        <v>348.59</v>
      </c>
      <c r="F260">
        <v>340.24</v>
      </c>
    </row>
    <row r="261" spans="1:6" x14ac:dyDescent="0.45">
      <c r="A261" s="1">
        <v>44623</v>
      </c>
      <c r="B261">
        <v>342.26</v>
      </c>
      <c r="C261">
        <v>71089390</v>
      </c>
      <c r="D261">
        <v>349.93</v>
      </c>
      <c r="E261">
        <v>350.04</v>
      </c>
      <c r="F261">
        <v>340.35</v>
      </c>
    </row>
    <row r="262" spans="1:6" x14ac:dyDescent="0.45">
      <c r="A262" s="1">
        <v>44624</v>
      </c>
      <c r="B262">
        <v>337.3</v>
      </c>
      <c r="C262">
        <v>77009760</v>
      </c>
      <c r="D262">
        <v>339.84</v>
      </c>
      <c r="E262">
        <v>341.31</v>
      </c>
      <c r="F262">
        <v>334.92</v>
      </c>
    </row>
    <row r="263" spans="1:6" x14ac:dyDescent="0.45">
      <c r="A263" s="1">
        <v>44627</v>
      </c>
      <c r="B263">
        <v>324.86</v>
      </c>
      <c r="C263">
        <v>89933790</v>
      </c>
      <c r="D263">
        <v>337.29</v>
      </c>
      <c r="E263">
        <v>338.48</v>
      </c>
      <c r="F263">
        <v>324.64999999999998</v>
      </c>
    </row>
    <row r="264" spans="1:6" x14ac:dyDescent="0.45">
      <c r="A264" s="1">
        <v>44628</v>
      </c>
      <c r="B264">
        <v>323.35000000000002</v>
      </c>
      <c r="C264">
        <v>116153900</v>
      </c>
      <c r="D264">
        <v>324.05</v>
      </c>
      <c r="E264">
        <v>333.21</v>
      </c>
      <c r="F264">
        <v>319.94</v>
      </c>
    </row>
    <row r="265" spans="1:6" x14ac:dyDescent="0.45">
      <c r="A265" s="1">
        <v>44629</v>
      </c>
      <c r="B265">
        <v>334.99</v>
      </c>
      <c r="C265">
        <v>64723370</v>
      </c>
      <c r="D265">
        <v>331.75</v>
      </c>
      <c r="E265">
        <v>336.38</v>
      </c>
      <c r="F265">
        <v>329.09</v>
      </c>
    </row>
    <row r="266" spans="1:6" x14ac:dyDescent="0.45">
      <c r="A266" s="1">
        <v>44630</v>
      </c>
      <c r="B266">
        <v>331.27</v>
      </c>
      <c r="C266">
        <v>69362710</v>
      </c>
      <c r="D266">
        <v>330.82</v>
      </c>
      <c r="E266">
        <v>332.51</v>
      </c>
      <c r="F266">
        <v>326.70999999999998</v>
      </c>
    </row>
    <row r="267" spans="1:6" x14ac:dyDescent="0.45">
      <c r="A267" s="1">
        <v>44631</v>
      </c>
      <c r="B267">
        <v>324.39999999999998</v>
      </c>
      <c r="C267">
        <v>66228430</v>
      </c>
      <c r="D267">
        <v>334.32</v>
      </c>
      <c r="E267">
        <v>334.64</v>
      </c>
      <c r="F267">
        <v>323.89999999999998</v>
      </c>
    </row>
    <row r="268" spans="1:6" x14ac:dyDescent="0.45">
      <c r="A268" s="1">
        <v>44634</v>
      </c>
      <c r="B268">
        <v>318.17</v>
      </c>
      <c r="C268">
        <v>79802610</v>
      </c>
      <c r="D268">
        <v>323.13</v>
      </c>
      <c r="E268">
        <v>326.58999999999997</v>
      </c>
      <c r="F268">
        <v>317.45</v>
      </c>
    </row>
    <row r="269" spans="1:6" x14ac:dyDescent="0.45">
      <c r="A269" s="1">
        <v>44635</v>
      </c>
      <c r="B269">
        <v>328.15</v>
      </c>
      <c r="C269">
        <v>76470990</v>
      </c>
      <c r="D269">
        <v>320.88</v>
      </c>
      <c r="E269">
        <v>328.95</v>
      </c>
      <c r="F269">
        <v>319.23</v>
      </c>
    </row>
    <row r="270" spans="1:6" x14ac:dyDescent="0.45">
      <c r="A270" s="1">
        <v>44636</v>
      </c>
      <c r="B270">
        <v>340.32</v>
      </c>
      <c r="C270">
        <v>105243000</v>
      </c>
      <c r="D270">
        <v>332.17</v>
      </c>
      <c r="E270">
        <v>340.44</v>
      </c>
      <c r="F270">
        <v>328.40100000000001</v>
      </c>
    </row>
    <row r="271" spans="1:6" x14ac:dyDescent="0.45">
      <c r="A271" s="1">
        <v>44637</v>
      </c>
      <c r="B271">
        <v>344.44</v>
      </c>
      <c r="C271">
        <v>67809950</v>
      </c>
      <c r="D271">
        <v>338.37</v>
      </c>
      <c r="E271">
        <v>344.5</v>
      </c>
      <c r="F271">
        <v>337.04059999999998</v>
      </c>
    </row>
    <row r="272" spans="1:6" x14ac:dyDescent="0.45">
      <c r="A272" s="1">
        <v>44638</v>
      </c>
      <c r="B272">
        <v>351.49</v>
      </c>
      <c r="C272">
        <v>85446350</v>
      </c>
      <c r="D272">
        <v>342.74</v>
      </c>
      <c r="E272">
        <v>351.79</v>
      </c>
      <c r="F272">
        <v>341.55</v>
      </c>
    </row>
    <row r="273" spans="1:6" x14ac:dyDescent="0.45">
      <c r="A273" s="1">
        <v>44641</v>
      </c>
      <c r="B273">
        <v>350.08</v>
      </c>
      <c r="C273">
        <v>73799070</v>
      </c>
      <c r="D273">
        <v>350.2</v>
      </c>
      <c r="E273">
        <v>352.48</v>
      </c>
      <c r="F273">
        <v>345.57499999999999</v>
      </c>
    </row>
    <row r="274" spans="1:6" x14ac:dyDescent="0.45">
      <c r="A274" s="1">
        <v>44642</v>
      </c>
      <c r="B274">
        <v>356.96</v>
      </c>
      <c r="C274">
        <v>63345930</v>
      </c>
      <c r="D274">
        <v>350.59</v>
      </c>
      <c r="E274">
        <v>357.85</v>
      </c>
      <c r="F274">
        <v>350.2</v>
      </c>
    </row>
    <row r="275" spans="1:6" x14ac:dyDescent="0.45">
      <c r="A275" s="1">
        <v>44643</v>
      </c>
      <c r="B275">
        <v>351.83</v>
      </c>
      <c r="C275">
        <v>70615460</v>
      </c>
      <c r="D275">
        <v>354.01</v>
      </c>
      <c r="E275">
        <v>357.66</v>
      </c>
      <c r="F275">
        <v>351.77</v>
      </c>
    </row>
    <row r="276" spans="1:6" x14ac:dyDescent="0.45">
      <c r="A276" s="1">
        <v>44644</v>
      </c>
      <c r="B276">
        <v>359.65</v>
      </c>
      <c r="C276">
        <v>53555250</v>
      </c>
      <c r="D276">
        <v>353.8</v>
      </c>
      <c r="E276">
        <v>359.7</v>
      </c>
      <c r="F276">
        <v>351.59390000000002</v>
      </c>
    </row>
    <row r="277" spans="1:6" x14ac:dyDescent="0.45">
      <c r="A277" s="1">
        <v>44645</v>
      </c>
      <c r="B277">
        <v>359.35</v>
      </c>
      <c r="C277">
        <v>57584160</v>
      </c>
      <c r="D277">
        <v>359.59</v>
      </c>
      <c r="E277">
        <v>360.67</v>
      </c>
      <c r="F277">
        <v>354.94380000000001</v>
      </c>
    </row>
    <row r="278" spans="1:6" x14ac:dyDescent="0.45">
      <c r="A278" s="1">
        <v>44648</v>
      </c>
      <c r="B278">
        <v>364.91</v>
      </c>
      <c r="C278">
        <v>56833870</v>
      </c>
      <c r="D278">
        <v>359.34</v>
      </c>
      <c r="E278">
        <v>365.01</v>
      </c>
      <c r="F278">
        <v>358.07</v>
      </c>
    </row>
    <row r="279" spans="1:6" x14ac:dyDescent="0.45">
      <c r="A279" s="1">
        <v>44649</v>
      </c>
      <c r="B279">
        <v>371.19</v>
      </c>
      <c r="C279">
        <v>68072960</v>
      </c>
      <c r="D279">
        <v>368.9</v>
      </c>
      <c r="E279">
        <v>371.83</v>
      </c>
      <c r="F279">
        <v>366.06</v>
      </c>
    </row>
    <row r="280" spans="1:6" x14ac:dyDescent="0.45">
      <c r="A280" s="1">
        <v>44650</v>
      </c>
      <c r="B280">
        <v>367.09</v>
      </c>
      <c r="C280">
        <v>68757710</v>
      </c>
      <c r="D280">
        <v>369.27499999999998</v>
      </c>
      <c r="E280">
        <v>370.98</v>
      </c>
      <c r="F280">
        <v>365.57</v>
      </c>
    </row>
    <row r="281" spans="1:6" x14ac:dyDescent="0.45">
      <c r="A281" s="1">
        <v>44651</v>
      </c>
      <c r="B281">
        <v>362.54</v>
      </c>
      <c r="C281">
        <v>67011410</v>
      </c>
      <c r="D281">
        <v>367.24</v>
      </c>
      <c r="E281">
        <v>367.6</v>
      </c>
      <c r="F281">
        <v>361.68</v>
      </c>
    </row>
    <row r="282" spans="1:6" x14ac:dyDescent="0.45">
      <c r="A282" s="1">
        <v>44652</v>
      </c>
      <c r="B282">
        <v>361.85</v>
      </c>
      <c r="C282">
        <v>54527760</v>
      </c>
      <c r="D282">
        <v>362.81</v>
      </c>
      <c r="E282">
        <v>363.61</v>
      </c>
      <c r="F282">
        <v>358.59</v>
      </c>
    </row>
    <row r="283" spans="1:6" x14ac:dyDescent="0.45">
      <c r="A283" s="1">
        <v>44655</v>
      </c>
      <c r="B283">
        <v>369.3</v>
      </c>
      <c r="C283">
        <v>45950170</v>
      </c>
      <c r="D283">
        <v>362.71</v>
      </c>
      <c r="E283">
        <v>369.31</v>
      </c>
      <c r="F283">
        <v>362.44</v>
      </c>
    </row>
    <row r="284" spans="1:6" x14ac:dyDescent="0.45">
      <c r="A284" s="1">
        <v>44656</v>
      </c>
      <c r="B284">
        <v>361.1</v>
      </c>
      <c r="C284">
        <v>62738660</v>
      </c>
      <c r="D284">
        <v>367.81</v>
      </c>
      <c r="E284">
        <v>368.54</v>
      </c>
      <c r="F284">
        <v>359.93</v>
      </c>
    </row>
    <row r="285" spans="1:6" x14ac:dyDescent="0.45">
      <c r="A285" s="1">
        <v>44657</v>
      </c>
      <c r="B285">
        <v>353.26</v>
      </c>
      <c r="C285">
        <v>90077070</v>
      </c>
      <c r="D285">
        <v>355.65</v>
      </c>
      <c r="E285">
        <v>356.78</v>
      </c>
      <c r="F285">
        <v>350.56</v>
      </c>
    </row>
    <row r="286" spans="1:6" x14ac:dyDescent="0.45">
      <c r="A286" s="1">
        <v>44658</v>
      </c>
      <c r="B286">
        <v>354.1</v>
      </c>
      <c r="C286">
        <v>63777370</v>
      </c>
      <c r="D286">
        <v>352.24</v>
      </c>
      <c r="E286">
        <v>356.35</v>
      </c>
      <c r="F286">
        <v>348.69</v>
      </c>
    </row>
    <row r="287" spans="1:6" x14ac:dyDescent="0.45">
      <c r="A287" s="1">
        <v>44659</v>
      </c>
      <c r="B287">
        <v>349.15</v>
      </c>
      <c r="C287">
        <v>61956090</v>
      </c>
      <c r="D287">
        <v>352.32</v>
      </c>
      <c r="E287">
        <v>353.09</v>
      </c>
      <c r="F287">
        <v>348.5</v>
      </c>
    </row>
    <row r="288" spans="1:6" x14ac:dyDescent="0.45">
      <c r="A288" s="1">
        <v>44662</v>
      </c>
      <c r="B288">
        <v>340.89</v>
      </c>
      <c r="C288">
        <v>66107400</v>
      </c>
      <c r="D288">
        <v>344.81</v>
      </c>
      <c r="E288">
        <v>345.75</v>
      </c>
      <c r="F288">
        <v>340.53500000000003</v>
      </c>
    </row>
    <row r="289" spans="1:6" x14ac:dyDescent="0.45">
      <c r="A289" s="1">
        <v>44663</v>
      </c>
      <c r="B289">
        <v>339.45</v>
      </c>
      <c r="C289">
        <v>72790220</v>
      </c>
      <c r="D289">
        <v>345.76</v>
      </c>
      <c r="E289">
        <v>347.69</v>
      </c>
      <c r="F289">
        <v>338.03500000000003</v>
      </c>
    </row>
    <row r="290" spans="1:6" x14ac:dyDescent="0.45">
      <c r="A290" s="1">
        <v>44664</v>
      </c>
      <c r="B290">
        <v>346.35</v>
      </c>
      <c r="C290">
        <v>61367760</v>
      </c>
      <c r="D290">
        <v>339.8</v>
      </c>
      <c r="E290">
        <v>347.43</v>
      </c>
      <c r="F290">
        <v>339.06</v>
      </c>
    </row>
    <row r="291" spans="1:6" x14ac:dyDescent="0.45">
      <c r="A291" s="1">
        <v>44665</v>
      </c>
      <c r="B291">
        <v>338.43</v>
      </c>
      <c r="C291">
        <v>73519370</v>
      </c>
      <c r="D291">
        <v>346.44</v>
      </c>
      <c r="E291">
        <v>346.97</v>
      </c>
      <c r="F291">
        <v>338.21</v>
      </c>
    </row>
    <row r="292" spans="1:6" x14ac:dyDescent="0.45">
      <c r="A292" s="1">
        <v>44669</v>
      </c>
      <c r="B292">
        <v>338.69</v>
      </c>
      <c r="C292">
        <v>58560560</v>
      </c>
      <c r="D292">
        <v>337.35</v>
      </c>
      <c r="E292">
        <v>341.04</v>
      </c>
      <c r="F292">
        <v>335.791</v>
      </c>
    </row>
    <row r="293" spans="1:6" x14ac:dyDescent="0.45">
      <c r="A293" s="1">
        <v>44670</v>
      </c>
      <c r="B293">
        <v>346.26</v>
      </c>
      <c r="C293">
        <v>56515680</v>
      </c>
      <c r="D293">
        <v>338.03</v>
      </c>
      <c r="E293">
        <v>346.85</v>
      </c>
      <c r="F293">
        <v>336.98</v>
      </c>
    </row>
    <row r="294" spans="1:6" x14ac:dyDescent="0.45">
      <c r="A294" s="1">
        <v>44671</v>
      </c>
      <c r="B294">
        <v>341.21</v>
      </c>
      <c r="C294">
        <v>65500020</v>
      </c>
      <c r="D294">
        <v>347.09</v>
      </c>
      <c r="E294">
        <v>347.56</v>
      </c>
      <c r="F294">
        <v>339.96</v>
      </c>
    </row>
    <row r="295" spans="1:6" x14ac:dyDescent="0.45">
      <c r="A295" s="1">
        <v>44672</v>
      </c>
      <c r="B295">
        <v>334.15</v>
      </c>
      <c r="C295">
        <v>75801010</v>
      </c>
      <c r="D295">
        <v>345.19</v>
      </c>
      <c r="E295">
        <v>347.87</v>
      </c>
      <c r="F295">
        <v>333.2</v>
      </c>
    </row>
    <row r="296" spans="1:6" x14ac:dyDescent="0.45">
      <c r="A296" s="1">
        <v>44673</v>
      </c>
      <c r="B296">
        <v>325.39999999999998</v>
      </c>
      <c r="C296">
        <v>82562150</v>
      </c>
      <c r="D296">
        <v>334.31</v>
      </c>
      <c r="E296">
        <v>335.56</v>
      </c>
      <c r="F296">
        <v>324.95999999999998</v>
      </c>
    </row>
    <row r="297" spans="1:6" x14ac:dyDescent="0.45">
      <c r="A297" s="1">
        <v>44676</v>
      </c>
      <c r="B297">
        <v>329.58</v>
      </c>
      <c r="C297">
        <v>101755900</v>
      </c>
      <c r="D297">
        <v>323.73</v>
      </c>
      <c r="E297">
        <v>329.9</v>
      </c>
      <c r="F297">
        <v>322.43</v>
      </c>
    </row>
    <row r="298" spans="1:6" x14ac:dyDescent="0.45">
      <c r="A298" s="1">
        <v>44677</v>
      </c>
      <c r="B298">
        <v>317.14</v>
      </c>
      <c r="C298">
        <v>105819600</v>
      </c>
      <c r="D298">
        <v>327.47000000000003</v>
      </c>
      <c r="E298">
        <v>327.66000000000003</v>
      </c>
      <c r="F298">
        <v>316.85500000000002</v>
      </c>
    </row>
    <row r="299" spans="1:6" x14ac:dyDescent="0.45">
      <c r="A299" s="1">
        <v>44678</v>
      </c>
      <c r="B299">
        <v>316.76</v>
      </c>
      <c r="C299">
        <v>111204200</v>
      </c>
      <c r="D299">
        <v>317.24</v>
      </c>
      <c r="E299">
        <v>322.88</v>
      </c>
      <c r="F299">
        <v>315</v>
      </c>
    </row>
    <row r="300" spans="1:6" x14ac:dyDescent="0.45">
      <c r="A300" s="1">
        <v>44679</v>
      </c>
      <c r="B300">
        <v>328.01</v>
      </c>
      <c r="C300">
        <v>99449960</v>
      </c>
      <c r="D300">
        <v>321.85000000000002</v>
      </c>
      <c r="E300">
        <v>329.89</v>
      </c>
      <c r="F300">
        <v>317.52</v>
      </c>
    </row>
    <row r="301" spans="1:6" x14ac:dyDescent="0.45">
      <c r="A301" s="1">
        <v>44680</v>
      </c>
      <c r="B301">
        <v>313.25</v>
      </c>
      <c r="C301">
        <v>91977860</v>
      </c>
      <c r="D301">
        <v>323.7</v>
      </c>
      <c r="E301">
        <v>327.22500000000002</v>
      </c>
      <c r="F301">
        <v>312.60000000000002</v>
      </c>
    </row>
    <row r="302" spans="1:6" x14ac:dyDescent="0.45">
      <c r="A302" s="1">
        <v>44683</v>
      </c>
      <c r="B302">
        <v>318.48</v>
      </c>
      <c r="C302">
        <v>115511800</v>
      </c>
      <c r="D302">
        <v>312.83</v>
      </c>
      <c r="E302">
        <v>318.72000000000003</v>
      </c>
      <c r="F302">
        <v>309.64499999999998</v>
      </c>
    </row>
    <row r="303" spans="1:6" x14ac:dyDescent="0.45">
      <c r="A303" s="1">
        <v>44684</v>
      </c>
      <c r="B303">
        <v>318.82</v>
      </c>
      <c r="C303">
        <v>78185530</v>
      </c>
      <c r="D303">
        <v>318.5</v>
      </c>
      <c r="E303">
        <v>321.17</v>
      </c>
      <c r="F303">
        <v>315.98</v>
      </c>
    </row>
    <row r="304" spans="1:6" x14ac:dyDescent="0.45">
      <c r="A304" s="1">
        <v>44685</v>
      </c>
      <c r="B304">
        <v>329.6</v>
      </c>
      <c r="C304">
        <v>116083400</v>
      </c>
      <c r="D304">
        <v>319.31</v>
      </c>
      <c r="E304">
        <v>330.29</v>
      </c>
      <c r="F304">
        <v>313.89100000000002</v>
      </c>
    </row>
    <row r="305" spans="1:6" x14ac:dyDescent="0.45">
      <c r="A305" s="1">
        <v>44686</v>
      </c>
      <c r="B305">
        <v>313</v>
      </c>
      <c r="C305">
        <v>154607400</v>
      </c>
      <c r="D305">
        <v>325.17</v>
      </c>
      <c r="E305">
        <v>325.25</v>
      </c>
      <c r="F305">
        <v>309.62</v>
      </c>
    </row>
    <row r="306" spans="1:6" x14ac:dyDescent="0.45">
      <c r="A306" s="1">
        <v>44687</v>
      </c>
      <c r="B306">
        <v>309.25</v>
      </c>
      <c r="C306">
        <v>139572800</v>
      </c>
      <c r="D306">
        <v>310.95</v>
      </c>
      <c r="E306">
        <v>315.08999999999997</v>
      </c>
      <c r="F306">
        <v>305.10500000000002</v>
      </c>
    </row>
    <row r="307" spans="1:6" x14ac:dyDescent="0.45">
      <c r="A307" s="1">
        <v>44690</v>
      </c>
      <c r="B307">
        <v>297.14999999999998</v>
      </c>
      <c r="C307">
        <v>113387300</v>
      </c>
      <c r="D307">
        <v>303.48</v>
      </c>
      <c r="E307">
        <v>309.34870000000001</v>
      </c>
      <c r="F307">
        <v>295.72000000000003</v>
      </c>
    </row>
    <row r="308" spans="1:6" x14ac:dyDescent="0.45">
      <c r="A308" s="1">
        <v>44691</v>
      </c>
      <c r="B308">
        <v>300.76</v>
      </c>
      <c r="C308">
        <v>124124600</v>
      </c>
      <c r="D308">
        <v>304.51</v>
      </c>
      <c r="E308">
        <v>305.76</v>
      </c>
      <c r="F308">
        <v>296.57</v>
      </c>
    </row>
    <row r="309" spans="1:6" x14ac:dyDescent="0.45">
      <c r="A309" s="1">
        <v>44692</v>
      </c>
      <c r="B309">
        <v>291.83999999999997</v>
      </c>
      <c r="C309">
        <v>140326100</v>
      </c>
      <c r="D309">
        <v>298.44</v>
      </c>
      <c r="E309">
        <v>304.08999999999997</v>
      </c>
      <c r="F309">
        <v>290.95</v>
      </c>
    </row>
    <row r="310" spans="1:6" x14ac:dyDescent="0.45">
      <c r="A310" s="1">
        <v>44693</v>
      </c>
      <c r="B310">
        <v>291.14999999999998</v>
      </c>
      <c r="C310">
        <v>120910900</v>
      </c>
      <c r="D310">
        <v>287.45</v>
      </c>
      <c r="E310">
        <v>295.75</v>
      </c>
      <c r="F310">
        <v>284.94</v>
      </c>
    </row>
    <row r="311" spans="1:6" x14ac:dyDescent="0.45">
      <c r="A311" s="1">
        <v>44694</v>
      </c>
      <c r="B311">
        <v>301.94</v>
      </c>
      <c r="C311">
        <v>83684930</v>
      </c>
      <c r="D311">
        <v>295.72000000000003</v>
      </c>
      <c r="E311">
        <v>302.99900000000002</v>
      </c>
      <c r="F311">
        <v>294.08249999999998</v>
      </c>
    </row>
    <row r="312" spans="1:6" x14ac:dyDescent="0.45">
      <c r="A312" s="1">
        <v>44697</v>
      </c>
      <c r="B312">
        <v>298.44</v>
      </c>
      <c r="C312">
        <v>59190430</v>
      </c>
      <c r="D312">
        <v>300.14999999999998</v>
      </c>
      <c r="E312">
        <v>302.26</v>
      </c>
      <c r="F312">
        <v>297.13</v>
      </c>
    </row>
    <row r="313" spans="1:6" x14ac:dyDescent="0.45">
      <c r="A313" s="1">
        <v>44698</v>
      </c>
      <c r="B313">
        <v>306.17</v>
      </c>
      <c r="C313">
        <v>62715290</v>
      </c>
      <c r="D313">
        <v>304.45</v>
      </c>
      <c r="E313">
        <v>306.56</v>
      </c>
      <c r="F313">
        <v>300.55</v>
      </c>
    </row>
    <row r="314" spans="1:6" x14ac:dyDescent="0.45">
      <c r="A314" s="1">
        <v>44699</v>
      </c>
      <c r="B314">
        <v>291.14</v>
      </c>
      <c r="C314">
        <v>79477110</v>
      </c>
      <c r="D314">
        <v>301.54000000000002</v>
      </c>
      <c r="E314">
        <v>302.25</v>
      </c>
      <c r="F314">
        <v>289.85000000000002</v>
      </c>
    </row>
    <row r="315" spans="1:6" x14ac:dyDescent="0.45">
      <c r="A315" s="1">
        <v>44700</v>
      </c>
      <c r="B315">
        <v>289.58</v>
      </c>
      <c r="C315">
        <v>79920710</v>
      </c>
      <c r="D315">
        <v>289.29000000000002</v>
      </c>
      <c r="E315">
        <v>294.39</v>
      </c>
      <c r="F315">
        <v>287.58</v>
      </c>
    </row>
    <row r="316" spans="1:6" x14ac:dyDescent="0.45">
      <c r="A316" s="1">
        <v>44701</v>
      </c>
      <c r="B316">
        <v>288.68</v>
      </c>
      <c r="C316">
        <v>91764170</v>
      </c>
      <c r="D316">
        <v>293.13</v>
      </c>
      <c r="E316">
        <v>293.8</v>
      </c>
      <c r="F316">
        <v>280.20999999999998</v>
      </c>
    </row>
    <row r="317" spans="1:6" x14ac:dyDescent="0.45">
      <c r="A317" s="1">
        <v>44704</v>
      </c>
      <c r="B317">
        <v>293.48</v>
      </c>
      <c r="C317">
        <v>63648400</v>
      </c>
      <c r="D317">
        <v>289.75</v>
      </c>
      <c r="E317">
        <v>293.87</v>
      </c>
      <c r="F317">
        <v>287.29000000000002</v>
      </c>
    </row>
    <row r="318" spans="1:6" x14ac:dyDescent="0.45">
      <c r="A318" s="1">
        <v>44705</v>
      </c>
      <c r="B318">
        <v>287.24</v>
      </c>
      <c r="C318">
        <v>73491120</v>
      </c>
      <c r="D318">
        <v>288.125</v>
      </c>
      <c r="E318">
        <v>288.86</v>
      </c>
      <c r="F318">
        <v>282.25</v>
      </c>
    </row>
    <row r="319" spans="1:6" x14ac:dyDescent="0.45">
      <c r="A319" s="1">
        <v>44706</v>
      </c>
      <c r="B319">
        <v>291.26</v>
      </c>
      <c r="C319">
        <v>67144550</v>
      </c>
      <c r="D319">
        <v>285.70999999999998</v>
      </c>
      <c r="E319">
        <v>293.39</v>
      </c>
      <c r="F319">
        <v>285.5</v>
      </c>
    </row>
    <row r="320" spans="1:6" x14ac:dyDescent="0.45">
      <c r="A320" s="1">
        <v>44707</v>
      </c>
      <c r="B320">
        <v>299.33</v>
      </c>
      <c r="C320">
        <v>59462230</v>
      </c>
      <c r="D320">
        <v>290.44</v>
      </c>
      <c r="E320">
        <v>300.92</v>
      </c>
      <c r="F320">
        <v>290.14999999999998</v>
      </c>
    </row>
    <row r="321" spans="1:6" x14ac:dyDescent="0.45">
      <c r="A321" s="1">
        <v>44708</v>
      </c>
      <c r="B321">
        <v>309.10000000000002</v>
      </c>
      <c r="C321">
        <v>66985600</v>
      </c>
      <c r="D321">
        <v>302.54000000000002</v>
      </c>
      <c r="E321">
        <v>309.25</v>
      </c>
      <c r="F321">
        <v>302.42</v>
      </c>
    </row>
    <row r="322" spans="1:6" x14ac:dyDescent="0.45">
      <c r="A322" s="1">
        <v>44712</v>
      </c>
      <c r="B322">
        <v>308.27999999999997</v>
      </c>
      <c r="C322">
        <v>60968330</v>
      </c>
      <c r="D322">
        <v>309.07</v>
      </c>
      <c r="E322">
        <v>311.33</v>
      </c>
      <c r="F322">
        <v>304.33</v>
      </c>
    </row>
    <row r="323" spans="1:6" x14ac:dyDescent="0.45">
      <c r="A323" s="1">
        <v>44713</v>
      </c>
      <c r="B323">
        <v>306</v>
      </c>
      <c r="C323">
        <v>65341650</v>
      </c>
      <c r="D323">
        <v>310.47000000000003</v>
      </c>
      <c r="E323">
        <v>312.64999999999998</v>
      </c>
      <c r="F323">
        <v>303.73</v>
      </c>
    </row>
    <row r="324" spans="1:6" x14ac:dyDescent="0.45">
      <c r="A324" s="1">
        <v>44714</v>
      </c>
      <c r="B324">
        <v>314.38</v>
      </c>
      <c r="C324">
        <v>59291330</v>
      </c>
      <c r="D324">
        <v>304.85000000000002</v>
      </c>
      <c r="E324">
        <v>314.56</v>
      </c>
      <c r="F324">
        <v>303.40010000000001</v>
      </c>
    </row>
    <row r="325" spans="1:6" x14ac:dyDescent="0.45">
      <c r="A325" s="1">
        <v>44715</v>
      </c>
      <c r="B325">
        <v>306.2</v>
      </c>
      <c r="C325">
        <v>60914680</v>
      </c>
      <c r="D325">
        <v>309.02999999999997</v>
      </c>
      <c r="E325">
        <v>310.47000000000003</v>
      </c>
      <c r="F325">
        <v>304.92</v>
      </c>
    </row>
    <row r="326" spans="1:6" x14ac:dyDescent="0.45">
      <c r="A326" s="1">
        <v>44718</v>
      </c>
      <c r="B326">
        <v>307.22000000000003</v>
      </c>
      <c r="C326">
        <v>51785010</v>
      </c>
      <c r="D326">
        <v>310.75</v>
      </c>
      <c r="E326">
        <v>312.35000000000002</v>
      </c>
      <c r="F326">
        <v>305.62</v>
      </c>
    </row>
    <row r="327" spans="1:6" x14ac:dyDescent="0.45">
      <c r="A327" s="1">
        <v>44719</v>
      </c>
      <c r="B327">
        <v>309.87</v>
      </c>
      <c r="C327">
        <v>44900290</v>
      </c>
      <c r="D327">
        <v>303.81</v>
      </c>
      <c r="E327">
        <v>310.67</v>
      </c>
      <c r="F327">
        <v>302.68860000000001</v>
      </c>
    </row>
    <row r="328" spans="1:6" x14ac:dyDescent="0.45">
      <c r="A328" s="1">
        <v>44720</v>
      </c>
      <c r="B328">
        <v>307.64</v>
      </c>
      <c r="C328">
        <v>38342060</v>
      </c>
      <c r="D328">
        <v>309.05</v>
      </c>
      <c r="E328">
        <v>311.72000000000003</v>
      </c>
      <c r="F328">
        <v>306.77</v>
      </c>
    </row>
    <row r="329" spans="1:6" x14ac:dyDescent="0.45">
      <c r="A329" s="1">
        <v>44721</v>
      </c>
      <c r="B329">
        <v>299.39999999999998</v>
      </c>
      <c r="C329">
        <v>55900480</v>
      </c>
      <c r="D329">
        <v>305.91000000000003</v>
      </c>
      <c r="E329">
        <v>309.05</v>
      </c>
      <c r="F329">
        <v>299.23</v>
      </c>
    </row>
    <row r="330" spans="1:6" x14ac:dyDescent="0.45">
      <c r="A330" s="1">
        <v>44722</v>
      </c>
      <c r="B330">
        <v>288.83999999999997</v>
      </c>
      <c r="C330">
        <v>85963460</v>
      </c>
      <c r="D330">
        <v>293.64999999999998</v>
      </c>
      <c r="E330">
        <v>294.87</v>
      </c>
      <c r="F330">
        <v>288.38400000000001</v>
      </c>
    </row>
    <row r="331" spans="1:6" x14ac:dyDescent="0.45">
      <c r="A331" s="1">
        <v>44725</v>
      </c>
      <c r="B331">
        <v>275.41000000000003</v>
      </c>
      <c r="C331">
        <v>94442010</v>
      </c>
      <c r="D331">
        <v>279.75</v>
      </c>
      <c r="E331">
        <v>282.33999999999997</v>
      </c>
      <c r="F331">
        <v>274.52999999999997</v>
      </c>
    </row>
    <row r="332" spans="1:6" x14ac:dyDescent="0.45">
      <c r="A332" s="1">
        <v>44726</v>
      </c>
      <c r="B332">
        <v>275.91000000000003</v>
      </c>
      <c r="C332">
        <v>64697520</v>
      </c>
      <c r="D332">
        <v>277.66000000000003</v>
      </c>
      <c r="E332">
        <v>278.66000000000003</v>
      </c>
      <c r="F332">
        <v>273.33749999999998</v>
      </c>
    </row>
    <row r="333" spans="1:6" x14ac:dyDescent="0.45">
      <c r="A333" s="1">
        <v>44727</v>
      </c>
      <c r="B333">
        <v>282.8</v>
      </c>
      <c r="C333">
        <v>86051430</v>
      </c>
      <c r="D333">
        <v>279.41500000000002</v>
      </c>
      <c r="E333">
        <v>286.83</v>
      </c>
      <c r="F333">
        <v>276.61</v>
      </c>
    </row>
    <row r="334" spans="1:6" x14ac:dyDescent="0.45">
      <c r="A334" s="1">
        <v>44728</v>
      </c>
      <c r="B334">
        <v>271.39</v>
      </c>
      <c r="C334">
        <v>81910300</v>
      </c>
      <c r="D334">
        <v>275.58999999999997</v>
      </c>
      <c r="E334">
        <v>276.06</v>
      </c>
      <c r="F334">
        <v>269.27999999999997</v>
      </c>
    </row>
    <row r="335" spans="1:6" x14ac:dyDescent="0.45">
      <c r="A335" s="1">
        <v>44729</v>
      </c>
      <c r="B335">
        <v>274.69</v>
      </c>
      <c r="C335">
        <v>82703400</v>
      </c>
      <c r="D335">
        <v>272.18</v>
      </c>
      <c r="E335">
        <v>277.19</v>
      </c>
      <c r="F335">
        <v>270.51190000000003</v>
      </c>
    </row>
    <row r="336" spans="1:6" x14ac:dyDescent="0.45">
      <c r="A336" s="1">
        <v>44733</v>
      </c>
      <c r="B336">
        <v>281.08</v>
      </c>
      <c r="C336">
        <v>51633740</v>
      </c>
      <c r="D336">
        <v>278.75</v>
      </c>
      <c r="E336">
        <v>283.45</v>
      </c>
      <c r="F336">
        <v>278.64</v>
      </c>
    </row>
    <row r="337" spans="1:6" x14ac:dyDescent="0.45">
      <c r="A337" s="1">
        <v>44734</v>
      </c>
      <c r="B337">
        <v>280.67</v>
      </c>
      <c r="C337">
        <v>67472920</v>
      </c>
      <c r="D337">
        <v>278.52</v>
      </c>
      <c r="E337">
        <v>285.18</v>
      </c>
      <c r="F337">
        <v>277.91000000000003</v>
      </c>
    </row>
    <row r="338" spans="1:6" x14ac:dyDescent="0.45">
      <c r="A338" s="1">
        <v>44735</v>
      </c>
      <c r="B338">
        <v>284.85000000000002</v>
      </c>
      <c r="C338">
        <v>57457800</v>
      </c>
      <c r="D338">
        <v>283.20999999999998</v>
      </c>
      <c r="E338">
        <v>285.72000000000003</v>
      </c>
      <c r="F338">
        <v>280.31</v>
      </c>
    </row>
    <row r="339" spans="1:6" x14ac:dyDescent="0.45">
      <c r="A339" s="1">
        <v>44736</v>
      </c>
      <c r="B339">
        <v>294.61</v>
      </c>
      <c r="C339">
        <v>58422260</v>
      </c>
      <c r="D339">
        <v>287.74</v>
      </c>
      <c r="E339">
        <v>295.04000000000002</v>
      </c>
      <c r="F339">
        <v>287.50009999999997</v>
      </c>
    </row>
    <row r="340" spans="1:6" x14ac:dyDescent="0.45">
      <c r="A340" s="1">
        <v>44739</v>
      </c>
      <c r="B340">
        <v>292.45</v>
      </c>
      <c r="C340">
        <v>54151450</v>
      </c>
      <c r="D340">
        <v>296</v>
      </c>
      <c r="E340">
        <v>296.57990000000001</v>
      </c>
      <c r="F340">
        <v>291.29000000000002</v>
      </c>
    </row>
    <row r="341" spans="1:6" x14ac:dyDescent="0.45">
      <c r="A341" s="1">
        <v>44740</v>
      </c>
      <c r="B341">
        <v>283.54000000000002</v>
      </c>
      <c r="C341">
        <v>61867060</v>
      </c>
      <c r="D341">
        <v>293</v>
      </c>
      <c r="E341">
        <v>295.64999999999998</v>
      </c>
      <c r="F341">
        <v>283.35000000000002</v>
      </c>
    </row>
    <row r="342" spans="1:6" x14ac:dyDescent="0.45">
      <c r="A342" s="1">
        <v>44741</v>
      </c>
      <c r="B342">
        <v>283.8</v>
      </c>
      <c r="C342">
        <v>57302730</v>
      </c>
      <c r="D342">
        <v>283.39999999999998</v>
      </c>
      <c r="E342">
        <v>285.33999999999997</v>
      </c>
      <c r="F342">
        <v>280.83999999999997</v>
      </c>
    </row>
    <row r="343" spans="1:6" x14ac:dyDescent="0.45">
      <c r="A343" s="1">
        <v>44742</v>
      </c>
      <c r="B343">
        <v>280.27999999999997</v>
      </c>
      <c r="C343">
        <v>79313580</v>
      </c>
      <c r="D343">
        <v>280.75</v>
      </c>
      <c r="E343">
        <v>283.94409999999999</v>
      </c>
      <c r="F343">
        <v>275.77999999999997</v>
      </c>
    </row>
    <row r="344" spans="1:6" x14ac:dyDescent="0.45">
      <c r="A344" s="1">
        <v>44743</v>
      </c>
      <c r="B344">
        <v>282.13</v>
      </c>
      <c r="C344">
        <v>56675110</v>
      </c>
      <c r="D344">
        <v>278.95</v>
      </c>
      <c r="E344">
        <v>282.52999999999997</v>
      </c>
      <c r="F344">
        <v>277.02999999999997</v>
      </c>
    </row>
    <row r="345" spans="1:6" x14ac:dyDescent="0.45">
      <c r="A345" s="1">
        <v>44747</v>
      </c>
      <c r="B345">
        <v>286.95999999999998</v>
      </c>
      <c r="C345">
        <v>61829270</v>
      </c>
      <c r="D345">
        <v>278.31</v>
      </c>
      <c r="E345">
        <v>287.08</v>
      </c>
      <c r="F345">
        <v>276.75009999999997</v>
      </c>
    </row>
    <row r="346" spans="1:6" x14ac:dyDescent="0.45">
      <c r="A346" s="1">
        <v>44748</v>
      </c>
      <c r="B346">
        <v>288.8</v>
      </c>
      <c r="C346">
        <v>63194720</v>
      </c>
      <c r="D346">
        <v>287.35000000000002</v>
      </c>
      <c r="E346">
        <v>290.95</v>
      </c>
      <c r="F346">
        <v>285.58999999999997</v>
      </c>
    </row>
    <row r="347" spans="1:6" x14ac:dyDescent="0.45">
      <c r="A347" s="1">
        <v>44749</v>
      </c>
      <c r="B347">
        <v>294.98</v>
      </c>
      <c r="C347">
        <v>56620110</v>
      </c>
      <c r="D347">
        <v>289.63</v>
      </c>
      <c r="E347">
        <v>295.7</v>
      </c>
      <c r="F347">
        <v>289.63</v>
      </c>
    </row>
    <row r="348" spans="1:6" x14ac:dyDescent="0.45">
      <c r="A348" s="1">
        <v>44750</v>
      </c>
      <c r="B348">
        <v>295.35000000000002</v>
      </c>
      <c r="C348">
        <v>59895480</v>
      </c>
      <c r="D348">
        <v>292.08</v>
      </c>
      <c r="E348">
        <v>296.75</v>
      </c>
      <c r="F348">
        <v>291.12</v>
      </c>
    </row>
    <row r="349" spans="1:6" x14ac:dyDescent="0.45">
      <c r="A349" s="1">
        <v>44753</v>
      </c>
      <c r="B349">
        <v>289.04000000000002</v>
      </c>
      <c r="C349">
        <v>55273920</v>
      </c>
      <c r="D349">
        <v>292.88</v>
      </c>
      <c r="E349">
        <v>293.11</v>
      </c>
      <c r="F349">
        <v>288.14</v>
      </c>
    </row>
    <row r="350" spans="1:6" x14ac:dyDescent="0.45">
      <c r="A350" s="1">
        <v>44754</v>
      </c>
      <c r="B350">
        <v>286.24</v>
      </c>
      <c r="C350">
        <v>55797090</v>
      </c>
      <c r="D350">
        <v>290.32</v>
      </c>
      <c r="E350">
        <v>292.27999999999997</v>
      </c>
      <c r="F350">
        <v>284.61</v>
      </c>
    </row>
    <row r="351" spans="1:6" x14ac:dyDescent="0.45">
      <c r="A351" s="1">
        <v>44755</v>
      </c>
      <c r="B351">
        <v>285.64999999999998</v>
      </c>
      <c r="C351">
        <v>73939420</v>
      </c>
      <c r="D351">
        <v>280.60000000000002</v>
      </c>
      <c r="E351">
        <v>288.05</v>
      </c>
      <c r="F351">
        <v>280.02</v>
      </c>
    </row>
    <row r="352" spans="1:6" x14ac:dyDescent="0.45">
      <c r="A352" s="1">
        <v>44756</v>
      </c>
      <c r="B352">
        <v>286.67</v>
      </c>
      <c r="C352">
        <v>63741840</v>
      </c>
      <c r="D352">
        <v>282.99</v>
      </c>
      <c r="E352">
        <v>287.56</v>
      </c>
      <c r="F352">
        <v>279.8</v>
      </c>
    </row>
    <row r="353" spans="1:6" x14ac:dyDescent="0.45">
      <c r="A353" s="1">
        <v>44757</v>
      </c>
      <c r="B353">
        <v>291.87</v>
      </c>
      <c r="C353">
        <v>63818150</v>
      </c>
      <c r="D353">
        <v>289.73</v>
      </c>
      <c r="E353">
        <v>291.98</v>
      </c>
      <c r="F353">
        <v>288.08</v>
      </c>
    </row>
    <row r="354" spans="1:6" x14ac:dyDescent="0.45">
      <c r="A354" s="1">
        <v>44760</v>
      </c>
      <c r="B354">
        <v>289.39999999999998</v>
      </c>
      <c r="C354">
        <v>59519580</v>
      </c>
      <c r="D354">
        <v>294.72000000000003</v>
      </c>
      <c r="E354">
        <v>296.16000000000003</v>
      </c>
      <c r="F354">
        <v>288.2</v>
      </c>
    </row>
    <row r="355" spans="1:6" x14ac:dyDescent="0.45">
      <c r="A355" s="1">
        <v>44761</v>
      </c>
      <c r="B355">
        <v>298.3</v>
      </c>
      <c r="C355">
        <v>55172640</v>
      </c>
      <c r="D355">
        <v>293.11</v>
      </c>
      <c r="E355">
        <v>298.60000000000002</v>
      </c>
      <c r="F355">
        <v>291.47000000000003</v>
      </c>
    </row>
    <row r="356" spans="1:6" x14ac:dyDescent="0.45">
      <c r="A356" s="1">
        <v>44762</v>
      </c>
      <c r="B356">
        <v>303.02999999999997</v>
      </c>
      <c r="C356">
        <v>67769430</v>
      </c>
      <c r="D356">
        <v>298.73</v>
      </c>
      <c r="E356">
        <v>304.24</v>
      </c>
      <c r="F356">
        <v>297.93290000000002</v>
      </c>
    </row>
    <row r="357" spans="1:6" x14ac:dyDescent="0.45">
      <c r="A357" s="1">
        <v>44763</v>
      </c>
      <c r="B357">
        <v>307.38</v>
      </c>
      <c r="C357">
        <v>55049360</v>
      </c>
      <c r="D357">
        <v>303.5</v>
      </c>
      <c r="E357">
        <v>307.435</v>
      </c>
      <c r="F357">
        <v>300.77999999999997</v>
      </c>
    </row>
    <row r="358" spans="1:6" x14ac:dyDescent="0.45">
      <c r="A358" s="1">
        <v>44764</v>
      </c>
      <c r="B358">
        <v>301.99</v>
      </c>
      <c r="C358">
        <v>57127720</v>
      </c>
      <c r="D358">
        <v>306.43</v>
      </c>
      <c r="E358">
        <v>308.55</v>
      </c>
      <c r="F358">
        <v>300.11500000000001</v>
      </c>
    </row>
    <row r="359" spans="1:6" x14ac:dyDescent="0.45">
      <c r="A359" s="1">
        <v>44767</v>
      </c>
      <c r="B359">
        <v>300.27</v>
      </c>
      <c r="C359">
        <v>40582380</v>
      </c>
      <c r="D359">
        <v>302.02</v>
      </c>
      <c r="E359">
        <v>302.5</v>
      </c>
      <c r="F359">
        <v>298.22000000000003</v>
      </c>
    </row>
    <row r="360" spans="1:6" x14ac:dyDescent="0.45">
      <c r="A360" s="1">
        <v>44768</v>
      </c>
      <c r="B360">
        <v>294.37</v>
      </c>
      <c r="C360">
        <v>50074120</v>
      </c>
      <c r="D360">
        <v>298.52999999999997</v>
      </c>
      <c r="E360">
        <v>298.79000000000002</v>
      </c>
      <c r="F360">
        <v>293.54000000000002</v>
      </c>
    </row>
    <row r="361" spans="1:6" x14ac:dyDescent="0.45">
      <c r="A361" s="1">
        <v>44769</v>
      </c>
      <c r="B361">
        <v>306.81</v>
      </c>
      <c r="C361">
        <v>69304360</v>
      </c>
      <c r="D361">
        <v>299.04000000000002</v>
      </c>
      <c r="E361">
        <v>308.54000000000002</v>
      </c>
      <c r="F361">
        <v>298.45999999999998</v>
      </c>
    </row>
    <row r="362" spans="1:6" x14ac:dyDescent="0.45">
      <c r="A362" s="1">
        <v>44770</v>
      </c>
      <c r="B362">
        <v>309.81</v>
      </c>
      <c r="C362">
        <v>55139940</v>
      </c>
      <c r="D362">
        <v>306.58999999999997</v>
      </c>
      <c r="E362">
        <v>310.3965</v>
      </c>
      <c r="F362">
        <v>302.745</v>
      </c>
    </row>
    <row r="363" spans="1:6" x14ac:dyDescent="0.45">
      <c r="A363" s="1">
        <v>44771</v>
      </c>
      <c r="B363">
        <v>315.45999999999998</v>
      </c>
      <c r="C363">
        <v>57501040</v>
      </c>
      <c r="D363">
        <v>311.38499999999999</v>
      </c>
      <c r="E363">
        <v>316.39</v>
      </c>
      <c r="F363">
        <v>309.93099999999998</v>
      </c>
    </row>
    <row r="364" spans="1:6" x14ac:dyDescent="0.45">
      <c r="A364" s="1">
        <v>44774</v>
      </c>
      <c r="B364">
        <v>315.27</v>
      </c>
      <c r="C364">
        <v>46358830</v>
      </c>
      <c r="D364">
        <v>313.64999999999998</v>
      </c>
      <c r="E364">
        <v>318.81</v>
      </c>
      <c r="F364">
        <v>312.52999999999997</v>
      </c>
    </row>
    <row r="365" spans="1:6" x14ac:dyDescent="0.45">
      <c r="A365" s="1">
        <v>44775</v>
      </c>
      <c r="B365">
        <v>314.33</v>
      </c>
      <c r="C365">
        <v>48676500</v>
      </c>
      <c r="D365">
        <v>312.92</v>
      </c>
      <c r="E365">
        <v>318.54500000000002</v>
      </c>
      <c r="F365">
        <v>311.84010000000001</v>
      </c>
    </row>
    <row r="366" spans="1:6" x14ac:dyDescent="0.45">
      <c r="A366" s="1">
        <v>44776</v>
      </c>
      <c r="B366">
        <v>322.89</v>
      </c>
      <c r="C366">
        <v>53735730</v>
      </c>
      <c r="D366">
        <v>316.05</v>
      </c>
      <c r="E366">
        <v>323.72910000000002</v>
      </c>
      <c r="F366">
        <v>315.99</v>
      </c>
    </row>
    <row r="367" spans="1:6" x14ac:dyDescent="0.45">
      <c r="A367" s="1">
        <v>44777</v>
      </c>
      <c r="B367">
        <v>324.39999999999998</v>
      </c>
      <c r="C367">
        <v>38973660</v>
      </c>
      <c r="D367">
        <v>322.97000000000003</v>
      </c>
      <c r="E367">
        <v>324.72000000000003</v>
      </c>
      <c r="F367">
        <v>320.77</v>
      </c>
    </row>
    <row r="368" spans="1:6" x14ac:dyDescent="0.45">
      <c r="A368" s="1">
        <v>44778</v>
      </c>
      <c r="B368">
        <v>321.75</v>
      </c>
      <c r="C368">
        <v>53893970</v>
      </c>
      <c r="D368">
        <v>319.19</v>
      </c>
      <c r="E368">
        <v>323.83</v>
      </c>
      <c r="F368">
        <v>318.39</v>
      </c>
    </row>
    <row r="369" spans="1:6" x14ac:dyDescent="0.45">
      <c r="A369" s="1">
        <v>44781</v>
      </c>
      <c r="B369">
        <v>320.70999999999998</v>
      </c>
      <c r="C369">
        <v>44066300</v>
      </c>
      <c r="D369">
        <v>322.69</v>
      </c>
      <c r="E369">
        <v>326.47000000000003</v>
      </c>
      <c r="F369">
        <v>319.20999999999998</v>
      </c>
    </row>
    <row r="370" spans="1:6" x14ac:dyDescent="0.45">
      <c r="A370" s="1">
        <v>44782</v>
      </c>
      <c r="B370">
        <v>317.08</v>
      </c>
      <c r="C370">
        <v>39764220</v>
      </c>
      <c r="D370">
        <v>318.77</v>
      </c>
      <c r="E370">
        <v>319.02999999999997</v>
      </c>
      <c r="F370">
        <v>315.42</v>
      </c>
    </row>
    <row r="371" spans="1:6" x14ac:dyDescent="0.45">
      <c r="A371" s="1">
        <v>44783</v>
      </c>
      <c r="B371">
        <v>325.93</v>
      </c>
      <c r="C371">
        <v>51459560</v>
      </c>
      <c r="D371">
        <v>324.58999999999997</v>
      </c>
      <c r="E371">
        <v>326.23</v>
      </c>
      <c r="F371">
        <v>322.06009999999998</v>
      </c>
    </row>
    <row r="372" spans="1:6" x14ac:dyDescent="0.45">
      <c r="A372" s="1">
        <v>44784</v>
      </c>
      <c r="B372">
        <v>324.08</v>
      </c>
      <c r="C372">
        <v>45897650</v>
      </c>
      <c r="D372">
        <v>328.30500000000001</v>
      </c>
      <c r="E372">
        <v>330.36</v>
      </c>
      <c r="F372">
        <v>323.36</v>
      </c>
    </row>
    <row r="373" spans="1:6" x14ac:dyDescent="0.45">
      <c r="A373" s="1">
        <v>44785</v>
      </c>
      <c r="B373">
        <v>330.39</v>
      </c>
      <c r="C373">
        <v>40928380</v>
      </c>
      <c r="D373">
        <v>326.17500000000001</v>
      </c>
      <c r="E373">
        <v>330.58499999999998</v>
      </c>
      <c r="F373">
        <v>325.1001</v>
      </c>
    </row>
    <row r="374" spans="1:6" x14ac:dyDescent="0.45">
      <c r="A374" s="1">
        <v>44788</v>
      </c>
      <c r="B374">
        <v>333.06</v>
      </c>
      <c r="C374">
        <v>38266610</v>
      </c>
      <c r="D374">
        <v>329.42</v>
      </c>
      <c r="E374">
        <v>333.5652</v>
      </c>
      <c r="F374">
        <v>329.4</v>
      </c>
    </row>
    <row r="375" spans="1:6" x14ac:dyDescent="0.45">
      <c r="A375" s="1">
        <v>44789</v>
      </c>
      <c r="B375">
        <v>332.28</v>
      </c>
      <c r="C375">
        <v>41186860</v>
      </c>
      <c r="D375">
        <v>332.05500000000001</v>
      </c>
      <c r="E375">
        <v>334.42090000000002</v>
      </c>
      <c r="F375">
        <v>329.16</v>
      </c>
    </row>
    <row r="376" spans="1:6" x14ac:dyDescent="0.45">
      <c r="A376" s="1">
        <v>44790</v>
      </c>
      <c r="B376">
        <v>328.49</v>
      </c>
      <c r="C376">
        <v>47842160</v>
      </c>
      <c r="D376">
        <v>329.07</v>
      </c>
      <c r="E376">
        <v>331.43</v>
      </c>
      <c r="F376">
        <v>326.36</v>
      </c>
    </row>
    <row r="377" spans="1:6" x14ac:dyDescent="0.45">
      <c r="A377" s="1">
        <v>44791</v>
      </c>
      <c r="B377">
        <v>329.28</v>
      </c>
      <c r="C377">
        <v>41937170</v>
      </c>
      <c r="D377">
        <v>328.44</v>
      </c>
      <c r="E377">
        <v>330.49</v>
      </c>
      <c r="F377">
        <v>326.79000000000002</v>
      </c>
    </row>
    <row r="378" spans="1:6" x14ac:dyDescent="0.45">
      <c r="A378" s="1">
        <v>44792</v>
      </c>
      <c r="B378">
        <v>322.86</v>
      </c>
      <c r="C378">
        <v>51770570</v>
      </c>
      <c r="D378">
        <v>326.17</v>
      </c>
      <c r="E378">
        <v>326.83999999999997</v>
      </c>
      <c r="F378">
        <v>322.08</v>
      </c>
    </row>
    <row r="379" spans="1:6" x14ac:dyDescent="0.45">
      <c r="A379" s="1">
        <v>44795</v>
      </c>
      <c r="B379">
        <v>314.36</v>
      </c>
      <c r="C379">
        <v>51098890</v>
      </c>
      <c r="D379">
        <v>318.5</v>
      </c>
      <c r="E379">
        <v>318.74</v>
      </c>
      <c r="F379">
        <v>313.52999999999997</v>
      </c>
    </row>
    <row r="380" spans="1:6" x14ac:dyDescent="0.45">
      <c r="A380" s="1">
        <v>44796</v>
      </c>
      <c r="B380">
        <v>314.10000000000002</v>
      </c>
      <c r="C380">
        <v>39497070</v>
      </c>
      <c r="D380">
        <v>314.12</v>
      </c>
      <c r="E380">
        <v>317</v>
      </c>
      <c r="F380">
        <v>313.33</v>
      </c>
    </row>
    <row r="381" spans="1:6" x14ac:dyDescent="0.45">
      <c r="A381" s="1">
        <v>44797</v>
      </c>
      <c r="B381">
        <v>315.01</v>
      </c>
      <c r="C381">
        <v>38057060</v>
      </c>
      <c r="D381">
        <v>313.61</v>
      </c>
      <c r="E381">
        <v>316.87</v>
      </c>
      <c r="F381">
        <v>312.99</v>
      </c>
    </row>
    <row r="382" spans="1:6" x14ac:dyDescent="0.45">
      <c r="A382" s="1">
        <v>44798</v>
      </c>
      <c r="B382">
        <v>320.58</v>
      </c>
      <c r="C382">
        <v>38098260</v>
      </c>
      <c r="D382">
        <v>316.83</v>
      </c>
      <c r="E382">
        <v>320.60000000000002</v>
      </c>
      <c r="F382">
        <v>315.7577</v>
      </c>
    </row>
    <row r="383" spans="1:6" x14ac:dyDescent="0.45">
      <c r="A383" s="1">
        <v>44799</v>
      </c>
      <c r="B383">
        <v>307.44</v>
      </c>
      <c r="C383">
        <v>69047740</v>
      </c>
      <c r="D383">
        <v>320.27999999999997</v>
      </c>
      <c r="E383">
        <v>321.51</v>
      </c>
      <c r="F383">
        <v>307.35000000000002</v>
      </c>
    </row>
    <row r="384" spans="1:6" x14ac:dyDescent="0.45">
      <c r="A384" s="1">
        <v>44802</v>
      </c>
      <c r="B384">
        <v>304.41000000000003</v>
      </c>
      <c r="C384">
        <v>48321850</v>
      </c>
      <c r="D384">
        <v>304.62</v>
      </c>
      <c r="E384">
        <v>307.22000000000003</v>
      </c>
      <c r="F384">
        <v>303.27999999999997</v>
      </c>
    </row>
    <row r="385" spans="1:6" x14ac:dyDescent="0.45">
      <c r="A385" s="1">
        <v>44803</v>
      </c>
      <c r="B385">
        <v>301.02</v>
      </c>
      <c r="C385">
        <v>51184500</v>
      </c>
      <c r="D385">
        <v>306.10000000000002</v>
      </c>
      <c r="E385">
        <v>306.73</v>
      </c>
      <c r="F385">
        <v>298.44</v>
      </c>
    </row>
    <row r="386" spans="1:6" x14ac:dyDescent="0.45">
      <c r="A386" s="1">
        <v>44804</v>
      </c>
      <c r="B386">
        <v>299.27</v>
      </c>
      <c r="C386">
        <v>50044040</v>
      </c>
      <c r="D386">
        <v>303.99</v>
      </c>
      <c r="E386">
        <v>304.91000000000003</v>
      </c>
      <c r="F386">
        <v>299.16000000000003</v>
      </c>
    </row>
    <row r="387" spans="1:6" x14ac:dyDescent="0.45">
      <c r="A387" s="1">
        <v>44805</v>
      </c>
      <c r="B387">
        <v>299.39999999999998</v>
      </c>
      <c r="C387">
        <v>57990750</v>
      </c>
      <c r="D387">
        <v>296.72000000000003</v>
      </c>
      <c r="E387">
        <v>299.77999999999997</v>
      </c>
      <c r="F387">
        <v>292.95</v>
      </c>
    </row>
    <row r="388" spans="1:6" x14ac:dyDescent="0.45">
      <c r="A388" s="1">
        <v>44806</v>
      </c>
      <c r="B388">
        <v>295.17</v>
      </c>
      <c r="C388">
        <v>64666840</v>
      </c>
      <c r="D388">
        <v>302.33999999999997</v>
      </c>
      <c r="E388">
        <v>303.75</v>
      </c>
      <c r="F388">
        <v>293.52</v>
      </c>
    </row>
    <row r="389" spans="1:6" x14ac:dyDescent="0.45">
      <c r="A389" s="1">
        <v>44810</v>
      </c>
      <c r="B389">
        <v>293.05</v>
      </c>
      <c r="C389">
        <v>57005440</v>
      </c>
      <c r="D389">
        <v>295.66000000000003</v>
      </c>
      <c r="E389">
        <v>296.60000000000002</v>
      </c>
      <c r="F389">
        <v>290.87</v>
      </c>
    </row>
    <row r="390" spans="1:6" x14ac:dyDescent="0.45">
      <c r="A390" s="1">
        <v>44811</v>
      </c>
      <c r="B390">
        <v>298.97000000000003</v>
      </c>
      <c r="C390">
        <v>49260380</v>
      </c>
      <c r="D390">
        <v>293.54000000000002</v>
      </c>
      <c r="E390">
        <v>299.99</v>
      </c>
      <c r="F390">
        <v>293.27</v>
      </c>
    </row>
    <row r="391" spans="1:6" x14ac:dyDescent="0.45">
      <c r="A391" s="1">
        <v>44812</v>
      </c>
      <c r="B391">
        <v>300.52</v>
      </c>
      <c r="C391">
        <v>55649820</v>
      </c>
      <c r="D391">
        <v>296.85000000000002</v>
      </c>
      <c r="E391">
        <v>301.87</v>
      </c>
      <c r="F391">
        <v>295.45</v>
      </c>
    </row>
    <row r="392" spans="1:6" x14ac:dyDescent="0.45">
      <c r="A392" s="1">
        <v>44813</v>
      </c>
      <c r="B392">
        <v>307.08999999999997</v>
      </c>
      <c r="C392">
        <v>56125220</v>
      </c>
      <c r="D392">
        <v>302.83</v>
      </c>
      <c r="E392">
        <v>307.60000000000002</v>
      </c>
      <c r="F392">
        <v>300.52089999999998</v>
      </c>
    </row>
    <row r="393" spans="1:6" x14ac:dyDescent="0.45">
      <c r="A393" s="1">
        <v>44816</v>
      </c>
      <c r="B393">
        <v>310.74</v>
      </c>
      <c r="C393">
        <v>45905740</v>
      </c>
      <c r="D393">
        <v>308.5</v>
      </c>
      <c r="E393">
        <v>311.08</v>
      </c>
      <c r="F393">
        <v>308.18</v>
      </c>
    </row>
    <row r="394" spans="1:6" x14ac:dyDescent="0.45">
      <c r="A394" s="1">
        <v>44817</v>
      </c>
      <c r="B394">
        <v>293.7</v>
      </c>
      <c r="C394">
        <v>79562170</v>
      </c>
      <c r="D394">
        <v>301.8</v>
      </c>
      <c r="E394">
        <v>303.02</v>
      </c>
      <c r="F394">
        <v>292.78500000000003</v>
      </c>
    </row>
    <row r="395" spans="1:6" x14ac:dyDescent="0.45">
      <c r="A395" s="1">
        <v>44818</v>
      </c>
      <c r="B395">
        <v>296.02999999999997</v>
      </c>
      <c r="C395">
        <v>54907200</v>
      </c>
      <c r="D395">
        <v>294.86500000000001</v>
      </c>
      <c r="E395">
        <v>296.93</v>
      </c>
      <c r="F395">
        <v>293.06</v>
      </c>
    </row>
    <row r="396" spans="1:6" x14ac:dyDescent="0.45">
      <c r="A396" s="1">
        <v>44819</v>
      </c>
      <c r="B396">
        <v>291.10000000000002</v>
      </c>
      <c r="C396">
        <v>65299410</v>
      </c>
      <c r="D396">
        <v>294.07</v>
      </c>
      <c r="E396">
        <v>296.52999999999997</v>
      </c>
      <c r="F396">
        <v>289.45999999999998</v>
      </c>
    </row>
    <row r="397" spans="1:6" x14ac:dyDescent="0.45">
      <c r="A397" s="1">
        <v>44820</v>
      </c>
      <c r="B397">
        <v>289.32</v>
      </c>
      <c r="C397">
        <v>79920390</v>
      </c>
      <c r="D397">
        <v>287.72000000000003</v>
      </c>
      <c r="E397">
        <v>289.72000000000003</v>
      </c>
      <c r="F397">
        <v>285.62</v>
      </c>
    </row>
    <row r="398" spans="1:6" x14ac:dyDescent="0.45">
      <c r="A398" s="1">
        <v>44823</v>
      </c>
      <c r="B398">
        <v>291.05</v>
      </c>
      <c r="C398">
        <v>52613830</v>
      </c>
      <c r="D398">
        <v>286.10000000000002</v>
      </c>
      <c r="E398">
        <v>291.20999999999998</v>
      </c>
      <c r="F398">
        <v>286.04000000000002</v>
      </c>
    </row>
    <row r="399" spans="1:6" x14ac:dyDescent="0.45">
      <c r="A399" s="1">
        <v>44824</v>
      </c>
      <c r="B399">
        <v>288.73</v>
      </c>
      <c r="C399">
        <v>51271120</v>
      </c>
      <c r="D399">
        <v>288.49</v>
      </c>
      <c r="E399">
        <v>291.07</v>
      </c>
      <c r="F399">
        <v>286.38</v>
      </c>
    </row>
    <row r="400" spans="1:6" x14ac:dyDescent="0.45">
      <c r="A400" s="1">
        <v>44825</v>
      </c>
      <c r="B400">
        <v>283.56</v>
      </c>
      <c r="C400">
        <v>82930960</v>
      </c>
      <c r="D400">
        <v>289.58999999999997</v>
      </c>
      <c r="E400">
        <v>293.95</v>
      </c>
      <c r="F400">
        <v>283.42</v>
      </c>
    </row>
    <row r="401" spans="1:6" x14ac:dyDescent="0.45">
      <c r="A401" s="1">
        <v>44826</v>
      </c>
      <c r="B401">
        <v>280.07</v>
      </c>
      <c r="C401">
        <v>62757070</v>
      </c>
      <c r="D401">
        <v>282</v>
      </c>
      <c r="E401">
        <v>283.02999999999997</v>
      </c>
      <c r="F401">
        <v>278.815</v>
      </c>
    </row>
    <row r="402" spans="1:6" x14ac:dyDescent="0.45">
      <c r="A402" s="1">
        <v>44827</v>
      </c>
      <c r="B402">
        <v>275.51</v>
      </c>
      <c r="C402">
        <v>74815190</v>
      </c>
      <c r="D402">
        <v>277.55</v>
      </c>
      <c r="E402">
        <v>277.85000000000002</v>
      </c>
      <c r="F402">
        <v>272.02</v>
      </c>
    </row>
    <row r="403" spans="1:6" x14ac:dyDescent="0.45">
      <c r="A403" s="1">
        <v>44830</v>
      </c>
      <c r="B403">
        <v>274.37</v>
      </c>
      <c r="C403">
        <v>71176690</v>
      </c>
      <c r="D403">
        <v>275.02999999999997</v>
      </c>
      <c r="E403">
        <v>279.49</v>
      </c>
      <c r="F403">
        <v>273.56</v>
      </c>
    </row>
    <row r="404" spans="1:6" x14ac:dyDescent="0.45">
      <c r="A404" s="1">
        <v>44831</v>
      </c>
      <c r="B404">
        <v>274.48</v>
      </c>
      <c r="C404">
        <v>69780120</v>
      </c>
      <c r="D404">
        <v>277.81</v>
      </c>
      <c r="E404">
        <v>280.20999999999998</v>
      </c>
      <c r="F404">
        <v>272.11</v>
      </c>
    </row>
    <row r="405" spans="1:6" x14ac:dyDescent="0.45">
      <c r="A405" s="1">
        <v>44832</v>
      </c>
      <c r="B405">
        <v>279.94</v>
      </c>
      <c r="C405">
        <v>79652140</v>
      </c>
      <c r="D405">
        <v>274.45999999999998</v>
      </c>
      <c r="E405">
        <v>281.25</v>
      </c>
      <c r="F405">
        <v>272.94499999999999</v>
      </c>
    </row>
    <row r="406" spans="1:6" x14ac:dyDescent="0.45">
      <c r="A406" s="1">
        <v>44833</v>
      </c>
      <c r="B406">
        <v>271.87</v>
      </c>
      <c r="C406">
        <v>81215960</v>
      </c>
      <c r="D406">
        <v>275.86</v>
      </c>
      <c r="E406">
        <v>276.25</v>
      </c>
      <c r="F406">
        <v>268.83999999999997</v>
      </c>
    </row>
    <row r="407" spans="1:6" x14ac:dyDescent="0.45">
      <c r="A407" s="1">
        <v>44834</v>
      </c>
      <c r="B407">
        <v>267.26</v>
      </c>
      <c r="C407">
        <v>78482380</v>
      </c>
      <c r="D407">
        <v>271.02999999999997</v>
      </c>
      <c r="E407">
        <v>275.19</v>
      </c>
      <c r="F407">
        <v>267.10000000000002</v>
      </c>
    </row>
    <row r="408" spans="1:6" x14ac:dyDescent="0.45">
      <c r="A408" s="1">
        <v>44837</v>
      </c>
      <c r="B408">
        <v>273.52999999999997</v>
      </c>
      <c r="C408">
        <v>61267450</v>
      </c>
      <c r="D408">
        <v>269.07</v>
      </c>
      <c r="E408">
        <v>275.16000000000003</v>
      </c>
      <c r="F408">
        <v>267.52999999999997</v>
      </c>
    </row>
    <row r="409" spans="1:6" x14ac:dyDescent="0.45">
      <c r="A409" s="1">
        <v>44838</v>
      </c>
      <c r="B409">
        <v>282.13</v>
      </c>
      <c r="C409">
        <v>66696930</v>
      </c>
      <c r="D409">
        <v>278.99</v>
      </c>
      <c r="E409">
        <v>282.85000000000002</v>
      </c>
      <c r="F409">
        <v>278.99</v>
      </c>
    </row>
    <row r="410" spans="1:6" x14ac:dyDescent="0.45">
      <c r="A410" s="1">
        <v>44839</v>
      </c>
      <c r="B410">
        <v>281.98</v>
      </c>
      <c r="C410">
        <v>55766320</v>
      </c>
      <c r="D410">
        <v>278.27999999999997</v>
      </c>
      <c r="E410">
        <v>283.81</v>
      </c>
      <c r="F410">
        <v>275.42</v>
      </c>
    </row>
    <row r="411" spans="1:6" x14ac:dyDescent="0.45">
      <c r="A411" s="1">
        <v>44840</v>
      </c>
      <c r="B411">
        <v>279.76</v>
      </c>
      <c r="C411">
        <v>53489410</v>
      </c>
      <c r="D411">
        <v>280.95999999999998</v>
      </c>
      <c r="E411">
        <v>284.18</v>
      </c>
      <c r="F411">
        <v>279.43</v>
      </c>
    </row>
    <row r="412" spans="1:6" x14ac:dyDescent="0.45">
      <c r="A412" s="1">
        <v>44841</v>
      </c>
      <c r="B412">
        <v>269.10000000000002</v>
      </c>
      <c r="C412">
        <v>71354670</v>
      </c>
      <c r="D412">
        <v>275.02</v>
      </c>
      <c r="E412">
        <v>275.14999999999998</v>
      </c>
      <c r="F412">
        <v>267.74</v>
      </c>
    </row>
    <row r="413" spans="1:6" x14ac:dyDescent="0.45">
      <c r="A413" s="1">
        <v>44844</v>
      </c>
      <c r="B413">
        <v>266.41000000000003</v>
      </c>
      <c r="C413">
        <v>60392990</v>
      </c>
      <c r="D413">
        <v>269.3</v>
      </c>
      <c r="E413">
        <v>269.7</v>
      </c>
      <c r="F413">
        <v>263.64</v>
      </c>
    </row>
    <row r="414" spans="1:6" x14ac:dyDescent="0.45">
      <c r="A414" s="1">
        <v>44845</v>
      </c>
      <c r="B414">
        <v>262.75</v>
      </c>
      <c r="C414">
        <v>66522510</v>
      </c>
      <c r="D414">
        <v>264.7</v>
      </c>
      <c r="E414">
        <v>267.63</v>
      </c>
      <c r="F414">
        <v>261.02999999999997</v>
      </c>
    </row>
    <row r="415" spans="1:6" x14ac:dyDescent="0.45">
      <c r="A415" s="1">
        <v>44846</v>
      </c>
      <c r="B415">
        <v>262.66000000000003</v>
      </c>
      <c r="C415">
        <v>50580180</v>
      </c>
      <c r="D415">
        <v>263.39999999999998</v>
      </c>
      <c r="E415">
        <v>265.36</v>
      </c>
      <c r="F415">
        <v>261.95</v>
      </c>
    </row>
    <row r="416" spans="1:6" x14ac:dyDescent="0.45">
      <c r="A416" s="1">
        <v>44847</v>
      </c>
      <c r="B416">
        <v>268.82</v>
      </c>
      <c r="C416">
        <v>112894100</v>
      </c>
      <c r="D416">
        <v>255.16</v>
      </c>
      <c r="E416">
        <v>270.17</v>
      </c>
      <c r="F416">
        <v>254.26</v>
      </c>
    </row>
    <row r="417" spans="1:6" x14ac:dyDescent="0.45">
      <c r="A417" s="1">
        <v>44848</v>
      </c>
      <c r="B417">
        <v>260.74</v>
      </c>
      <c r="C417">
        <v>77244300</v>
      </c>
      <c r="D417">
        <v>271.2</v>
      </c>
      <c r="E417">
        <v>271.81</v>
      </c>
      <c r="F417">
        <v>260.14</v>
      </c>
    </row>
    <row r="418" spans="1:6" x14ac:dyDescent="0.45">
      <c r="A418" s="1">
        <v>44851</v>
      </c>
      <c r="B418">
        <v>269.35000000000002</v>
      </c>
      <c r="C418">
        <v>64576450</v>
      </c>
      <c r="D418">
        <v>266.83999999999997</v>
      </c>
      <c r="E418">
        <v>270.24</v>
      </c>
      <c r="F418">
        <v>266.74</v>
      </c>
    </row>
    <row r="419" spans="1:6" x14ac:dyDescent="0.45">
      <c r="A419" s="1">
        <v>44852</v>
      </c>
      <c r="B419">
        <v>271.48</v>
      </c>
      <c r="C419">
        <v>69781000</v>
      </c>
      <c r="D419">
        <v>276.52999999999997</v>
      </c>
      <c r="E419">
        <v>277.20999999999998</v>
      </c>
      <c r="F419">
        <v>268.74</v>
      </c>
    </row>
    <row r="420" spans="1:6" x14ac:dyDescent="0.45">
      <c r="A420" s="1">
        <v>44853</v>
      </c>
      <c r="B420">
        <v>270.49</v>
      </c>
      <c r="C420">
        <v>53115410</v>
      </c>
      <c r="D420">
        <v>269.93</v>
      </c>
      <c r="E420">
        <v>273.68</v>
      </c>
      <c r="F420">
        <v>268.07</v>
      </c>
    </row>
    <row r="421" spans="1:6" x14ac:dyDescent="0.45">
      <c r="A421" s="1">
        <v>44854</v>
      </c>
      <c r="B421">
        <v>269.11</v>
      </c>
      <c r="C421">
        <v>60605500</v>
      </c>
      <c r="D421">
        <v>269.58</v>
      </c>
      <c r="E421">
        <v>274.83999999999997</v>
      </c>
      <c r="F421">
        <v>267.92</v>
      </c>
    </row>
    <row r="422" spans="1:6" x14ac:dyDescent="0.45">
      <c r="A422" s="1">
        <v>44855</v>
      </c>
      <c r="B422">
        <v>275.42</v>
      </c>
      <c r="C422">
        <v>77897690</v>
      </c>
      <c r="D422">
        <v>267.98</v>
      </c>
      <c r="E422">
        <v>275.96899999999999</v>
      </c>
      <c r="F422">
        <v>266.8236</v>
      </c>
    </row>
    <row r="423" spans="1:6" x14ac:dyDescent="0.45">
      <c r="A423" s="1">
        <v>44858</v>
      </c>
      <c r="B423">
        <v>278.45</v>
      </c>
      <c r="C423">
        <v>63963570</v>
      </c>
      <c r="D423">
        <v>275.69</v>
      </c>
      <c r="E423">
        <v>279.39999999999998</v>
      </c>
      <c r="F423">
        <v>271.97000000000003</v>
      </c>
    </row>
    <row r="424" spans="1:6" x14ac:dyDescent="0.45">
      <c r="A424" s="1">
        <v>44859</v>
      </c>
      <c r="B424">
        <v>284.20999999999998</v>
      </c>
      <c r="C424">
        <v>59014490</v>
      </c>
      <c r="D424">
        <v>279.41000000000003</v>
      </c>
      <c r="E424">
        <v>284.60000000000002</v>
      </c>
      <c r="F424">
        <v>277.89999999999998</v>
      </c>
    </row>
    <row r="425" spans="1:6" x14ac:dyDescent="0.45">
      <c r="A425" s="1">
        <v>44860</v>
      </c>
      <c r="B425">
        <v>277.93</v>
      </c>
      <c r="C425">
        <v>63898250</v>
      </c>
      <c r="D425">
        <v>278.45999999999998</v>
      </c>
      <c r="E425">
        <v>283.98</v>
      </c>
      <c r="F425">
        <v>277.43</v>
      </c>
    </row>
    <row r="426" spans="1:6" x14ac:dyDescent="0.45">
      <c r="A426" s="1">
        <v>44861</v>
      </c>
      <c r="B426">
        <v>272.87</v>
      </c>
      <c r="C426">
        <v>57760300</v>
      </c>
      <c r="D426">
        <v>276.79000000000002</v>
      </c>
      <c r="E426">
        <v>278.27949999999998</v>
      </c>
      <c r="F426">
        <v>272.33999999999997</v>
      </c>
    </row>
    <row r="427" spans="1:6" x14ac:dyDescent="0.45">
      <c r="A427" s="1">
        <v>44862</v>
      </c>
      <c r="B427">
        <v>281.22000000000003</v>
      </c>
      <c r="C427">
        <v>62651310</v>
      </c>
      <c r="D427">
        <v>272.23</v>
      </c>
      <c r="E427">
        <v>281.69799999999998</v>
      </c>
      <c r="F427">
        <v>272.06</v>
      </c>
    </row>
    <row r="428" spans="1:6" x14ac:dyDescent="0.45">
      <c r="A428" s="1">
        <v>44865</v>
      </c>
      <c r="B428">
        <v>277.95</v>
      </c>
      <c r="C428">
        <v>47741950</v>
      </c>
      <c r="D428">
        <v>278.92</v>
      </c>
      <c r="E428">
        <v>279.76</v>
      </c>
      <c r="F428">
        <v>275.99</v>
      </c>
    </row>
    <row r="429" spans="1:6" x14ac:dyDescent="0.45">
      <c r="A429" s="1">
        <v>44866</v>
      </c>
      <c r="B429">
        <v>275.11</v>
      </c>
      <c r="C429">
        <v>45895900</v>
      </c>
      <c r="D429">
        <v>281.495</v>
      </c>
      <c r="E429">
        <v>282.07</v>
      </c>
      <c r="F429">
        <v>274.74</v>
      </c>
    </row>
    <row r="430" spans="1:6" x14ac:dyDescent="0.45">
      <c r="A430" s="1">
        <v>44867</v>
      </c>
      <c r="B430">
        <v>265.68</v>
      </c>
      <c r="C430">
        <v>79803140</v>
      </c>
      <c r="D430">
        <v>275.08</v>
      </c>
      <c r="E430">
        <v>278.20999999999998</v>
      </c>
      <c r="F430">
        <v>265.61</v>
      </c>
    </row>
    <row r="431" spans="1:6" x14ac:dyDescent="0.45">
      <c r="A431" s="1">
        <v>44868</v>
      </c>
      <c r="B431">
        <v>260.49</v>
      </c>
      <c r="C431">
        <v>70038900</v>
      </c>
      <c r="D431">
        <v>263.01</v>
      </c>
      <c r="E431">
        <v>264.5</v>
      </c>
      <c r="F431">
        <v>260.10000000000002</v>
      </c>
    </row>
    <row r="432" spans="1:6" x14ac:dyDescent="0.45">
      <c r="A432" s="1">
        <v>44869</v>
      </c>
      <c r="B432">
        <v>264.68</v>
      </c>
      <c r="C432">
        <v>78313210</v>
      </c>
      <c r="D432">
        <v>265.52999999999997</v>
      </c>
      <c r="E432">
        <v>266.61</v>
      </c>
      <c r="F432">
        <v>259.08</v>
      </c>
    </row>
    <row r="433" spans="1:6" x14ac:dyDescent="0.45">
      <c r="A433" s="1">
        <v>44872</v>
      </c>
      <c r="B433">
        <v>267.58999999999997</v>
      </c>
      <c r="C433">
        <v>47333830</v>
      </c>
      <c r="D433">
        <v>265.75</v>
      </c>
      <c r="E433">
        <v>268.14</v>
      </c>
      <c r="F433">
        <v>263.57</v>
      </c>
    </row>
    <row r="434" spans="1:6" x14ac:dyDescent="0.45">
      <c r="A434" s="1">
        <v>44873</v>
      </c>
      <c r="B434">
        <v>269.54000000000002</v>
      </c>
      <c r="C434">
        <v>63213790</v>
      </c>
      <c r="D434">
        <v>269.14</v>
      </c>
      <c r="E434">
        <v>272.85000000000002</v>
      </c>
      <c r="F434">
        <v>265.52</v>
      </c>
    </row>
    <row r="435" spans="1:6" x14ac:dyDescent="0.45">
      <c r="A435" s="1">
        <v>44874</v>
      </c>
      <c r="B435">
        <v>263.32</v>
      </c>
      <c r="C435">
        <v>64862130</v>
      </c>
      <c r="D435">
        <v>267.76</v>
      </c>
      <c r="E435">
        <v>268.56</v>
      </c>
      <c r="F435">
        <v>263.02999999999997</v>
      </c>
    </row>
    <row r="436" spans="1:6" x14ac:dyDescent="0.45">
      <c r="A436" s="1">
        <v>44875</v>
      </c>
      <c r="B436">
        <v>282.75</v>
      </c>
      <c r="C436">
        <v>99256690</v>
      </c>
      <c r="D436">
        <v>276.01</v>
      </c>
      <c r="E436">
        <v>283.05</v>
      </c>
      <c r="F436">
        <v>273.85000000000002</v>
      </c>
    </row>
    <row r="437" spans="1:6" x14ac:dyDescent="0.45">
      <c r="A437" s="1">
        <v>44876</v>
      </c>
      <c r="B437">
        <v>287.95999999999998</v>
      </c>
      <c r="C437">
        <v>66961750</v>
      </c>
      <c r="D437">
        <v>282.56</v>
      </c>
      <c r="E437">
        <v>288.64</v>
      </c>
      <c r="F437">
        <v>281.19</v>
      </c>
    </row>
    <row r="438" spans="1:6" x14ac:dyDescent="0.45">
      <c r="A438" s="1">
        <v>44879</v>
      </c>
      <c r="B438">
        <v>285.44</v>
      </c>
      <c r="C438">
        <v>55080050</v>
      </c>
      <c r="D438">
        <v>285.86</v>
      </c>
      <c r="E438">
        <v>289.21499999999997</v>
      </c>
      <c r="F438">
        <v>284.44</v>
      </c>
    </row>
    <row r="439" spans="1:6" x14ac:dyDescent="0.45">
      <c r="A439" s="1">
        <v>44880</v>
      </c>
      <c r="B439">
        <v>289.39</v>
      </c>
      <c r="C439">
        <v>73985370</v>
      </c>
      <c r="D439">
        <v>292.20999999999998</v>
      </c>
      <c r="E439">
        <v>293.26</v>
      </c>
      <c r="F439">
        <v>285.97000000000003</v>
      </c>
    </row>
    <row r="440" spans="1:6" x14ac:dyDescent="0.45">
      <c r="A440" s="1">
        <v>44881</v>
      </c>
      <c r="B440">
        <v>285.44</v>
      </c>
      <c r="C440">
        <v>48859800</v>
      </c>
      <c r="D440">
        <v>287.39</v>
      </c>
      <c r="E440">
        <v>289.48379999999997</v>
      </c>
      <c r="F440">
        <v>284.60000000000002</v>
      </c>
    </row>
    <row r="441" spans="1:6" x14ac:dyDescent="0.45">
      <c r="A441" s="1">
        <v>44882</v>
      </c>
      <c r="B441">
        <v>284.81</v>
      </c>
      <c r="C441">
        <v>55462080</v>
      </c>
      <c r="D441">
        <v>280.88</v>
      </c>
      <c r="E441">
        <v>286.31889999999999</v>
      </c>
      <c r="F441">
        <v>280.72000000000003</v>
      </c>
    </row>
    <row r="442" spans="1:6" x14ac:dyDescent="0.45">
      <c r="A442" s="1">
        <v>44883</v>
      </c>
      <c r="B442">
        <v>284.82</v>
      </c>
      <c r="C442">
        <v>53588630</v>
      </c>
      <c r="D442">
        <v>287.89</v>
      </c>
      <c r="E442">
        <v>287.99</v>
      </c>
      <c r="F442">
        <v>282.3211</v>
      </c>
    </row>
    <row r="443" spans="1:6" x14ac:dyDescent="0.45">
      <c r="A443" s="1">
        <v>44886</v>
      </c>
      <c r="B443">
        <v>281.89</v>
      </c>
      <c r="C443">
        <v>40083530</v>
      </c>
      <c r="D443">
        <v>283.39999999999998</v>
      </c>
      <c r="E443">
        <v>284.58</v>
      </c>
      <c r="F443">
        <v>281.04000000000002</v>
      </c>
    </row>
    <row r="444" spans="1:6" x14ac:dyDescent="0.45">
      <c r="A444" s="1">
        <v>44887</v>
      </c>
      <c r="B444">
        <v>285.95</v>
      </c>
      <c r="C444">
        <v>41873440</v>
      </c>
      <c r="D444">
        <v>282.64</v>
      </c>
      <c r="E444">
        <v>286.11</v>
      </c>
      <c r="F444">
        <v>280.45999999999998</v>
      </c>
    </row>
    <row r="445" spans="1:6" x14ac:dyDescent="0.45">
      <c r="A445" s="1">
        <v>44888</v>
      </c>
      <c r="B445">
        <v>288.82</v>
      </c>
      <c r="C445">
        <v>46389970</v>
      </c>
      <c r="D445">
        <v>285.97000000000003</v>
      </c>
      <c r="E445">
        <v>289.45999999999998</v>
      </c>
      <c r="F445">
        <v>285.79000000000002</v>
      </c>
    </row>
    <row r="446" spans="1:6" x14ac:dyDescent="0.45">
      <c r="A446" s="1">
        <v>44890</v>
      </c>
      <c r="B446">
        <v>286.92</v>
      </c>
      <c r="C446">
        <v>15498800</v>
      </c>
      <c r="D446">
        <v>287.19</v>
      </c>
      <c r="E446">
        <v>287.91000000000003</v>
      </c>
      <c r="F446">
        <v>286.42</v>
      </c>
    </row>
    <row r="447" spans="1:6" x14ac:dyDescent="0.45">
      <c r="A447" s="1">
        <v>44893</v>
      </c>
      <c r="B447">
        <v>282.70999999999998</v>
      </c>
      <c r="C447">
        <v>38877050</v>
      </c>
      <c r="D447">
        <v>284.89999999999998</v>
      </c>
      <c r="E447">
        <v>286.95999999999998</v>
      </c>
      <c r="F447">
        <v>281.76</v>
      </c>
    </row>
    <row r="448" spans="1:6" x14ac:dyDescent="0.45">
      <c r="A448" s="1">
        <v>44894</v>
      </c>
      <c r="B448">
        <v>280.57</v>
      </c>
      <c r="C448">
        <v>35618880</v>
      </c>
      <c r="D448">
        <v>282.94</v>
      </c>
      <c r="E448">
        <v>283.35000000000002</v>
      </c>
      <c r="F448">
        <v>279.17</v>
      </c>
    </row>
    <row r="449" spans="1:6" x14ac:dyDescent="0.45">
      <c r="A449" s="1">
        <v>44895</v>
      </c>
      <c r="B449">
        <v>293.36</v>
      </c>
      <c r="C449">
        <v>74718090</v>
      </c>
      <c r="D449">
        <v>280.83999999999997</v>
      </c>
      <c r="E449">
        <v>293.47000000000003</v>
      </c>
      <c r="F449">
        <v>279.97000000000003</v>
      </c>
    </row>
    <row r="450" spans="1:6" x14ac:dyDescent="0.45">
      <c r="A450" s="1">
        <v>44896</v>
      </c>
      <c r="B450">
        <v>293.72000000000003</v>
      </c>
      <c r="C450">
        <v>51547330</v>
      </c>
      <c r="D450">
        <v>293.69</v>
      </c>
      <c r="E450">
        <v>295.75</v>
      </c>
      <c r="F450">
        <v>290.88</v>
      </c>
    </row>
    <row r="451" spans="1:6" x14ac:dyDescent="0.45">
      <c r="A451" s="1">
        <v>44897</v>
      </c>
      <c r="B451">
        <v>292.55</v>
      </c>
      <c r="C451">
        <v>53583170</v>
      </c>
      <c r="D451">
        <v>288.54000000000002</v>
      </c>
      <c r="E451">
        <v>293.45</v>
      </c>
      <c r="F451">
        <v>288.36</v>
      </c>
    </row>
    <row r="452" spans="1:6" x14ac:dyDescent="0.45">
      <c r="A452" s="1">
        <v>44900</v>
      </c>
      <c r="B452">
        <v>287.64</v>
      </c>
      <c r="C452">
        <v>41482120</v>
      </c>
      <c r="D452">
        <v>290.38</v>
      </c>
      <c r="E452">
        <v>291.68</v>
      </c>
      <c r="F452">
        <v>286.14999999999998</v>
      </c>
    </row>
    <row r="453" spans="1:6" x14ac:dyDescent="0.45">
      <c r="A453" s="1">
        <v>44901</v>
      </c>
      <c r="B453">
        <v>281.68</v>
      </c>
      <c r="C453">
        <v>53937610</v>
      </c>
      <c r="D453">
        <v>287.48</v>
      </c>
      <c r="E453">
        <v>287.62</v>
      </c>
      <c r="F453">
        <v>280.255</v>
      </c>
    </row>
    <row r="454" spans="1:6" x14ac:dyDescent="0.45">
      <c r="A454" s="1">
        <v>44902</v>
      </c>
      <c r="B454">
        <v>280.52999999999997</v>
      </c>
      <c r="C454">
        <v>45614250</v>
      </c>
      <c r="D454">
        <v>280.47000000000003</v>
      </c>
      <c r="E454">
        <v>282.57</v>
      </c>
      <c r="F454">
        <v>278.7801</v>
      </c>
    </row>
    <row r="455" spans="1:6" x14ac:dyDescent="0.45">
      <c r="A455" s="1">
        <v>44903</v>
      </c>
      <c r="B455">
        <v>283.85000000000002</v>
      </c>
      <c r="C455">
        <v>42594910</v>
      </c>
      <c r="D455">
        <v>281.91000000000003</v>
      </c>
      <c r="E455">
        <v>284.83999999999997</v>
      </c>
      <c r="F455">
        <v>279.79000000000002</v>
      </c>
    </row>
    <row r="456" spans="1:6" x14ac:dyDescent="0.45">
      <c r="A456" s="1">
        <v>44904</v>
      </c>
      <c r="B456">
        <v>282.04000000000002</v>
      </c>
      <c r="C456">
        <v>47860490</v>
      </c>
      <c r="D456">
        <v>282.81</v>
      </c>
      <c r="E456">
        <v>285.64</v>
      </c>
      <c r="F456">
        <v>281.58999999999997</v>
      </c>
    </row>
    <row r="457" spans="1:6" x14ac:dyDescent="0.45">
      <c r="A457" s="1">
        <v>44907</v>
      </c>
      <c r="B457">
        <v>285.58</v>
      </c>
      <c r="C457">
        <v>35732520</v>
      </c>
      <c r="D457">
        <v>282.22000000000003</v>
      </c>
      <c r="E457">
        <v>285.64</v>
      </c>
      <c r="F457">
        <v>281.16000000000003</v>
      </c>
    </row>
    <row r="458" spans="1:6" x14ac:dyDescent="0.45">
      <c r="A458" s="1">
        <v>44908</v>
      </c>
      <c r="B458">
        <v>288.64999999999998</v>
      </c>
      <c r="C458">
        <v>80667680</v>
      </c>
      <c r="D458">
        <v>296.64999999999998</v>
      </c>
      <c r="E458">
        <v>296.875</v>
      </c>
      <c r="F458">
        <v>285.91000000000003</v>
      </c>
    </row>
    <row r="459" spans="1:6" x14ac:dyDescent="0.45">
      <c r="A459" s="1">
        <v>44909</v>
      </c>
      <c r="B459">
        <v>286.51</v>
      </c>
      <c r="C459">
        <v>64984430</v>
      </c>
      <c r="D459">
        <v>288.05</v>
      </c>
      <c r="E459">
        <v>291.41000000000003</v>
      </c>
      <c r="F459">
        <v>283.19</v>
      </c>
    </row>
    <row r="460" spans="1:6" x14ac:dyDescent="0.45">
      <c r="A460" s="1">
        <v>44910</v>
      </c>
      <c r="B460">
        <v>276.89</v>
      </c>
      <c r="C460">
        <v>60554120</v>
      </c>
      <c r="D460">
        <v>282.33</v>
      </c>
      <c r="E460">
        <v>283.01</v>
      </c>
      <c r="F460">
        <v>275.67</v>
      </c>
    </row>
    <row r="461" spans="1:6" x14ac:dyDescent="0.45">
      <c r="A461" s="1">
        <v>44911</v>
      </c>
      <c r="B461">
        <v>274.25</v>
      </c>
      <c r="C461">
        <v>68300350</v>
      </c>
      <c r="D461">
        <v>276.2</v>
      </c>
      <c r="E461">
        <v>277.77</v>
      </c>
      <c r="F461">
        <v>272.61</v>
      </c>
    </row>
    <row r="462" spans="1:6" x14ac:dyDescent="0.45">
      <c r="A462" s="1">
        <v>44914</v>
      </c>
      <c r="B462">
        <v>269.75</v>
      </c>
      <c r="C462">
        <v>44167920</v>
      </c>
      <c r="D462">
        <v>273.87</v>
      </c>
      <c r="E462">
        <v>273.95999999999998</v>
      </c>
      <c r="F462">
        <v>268.49</v>
      </c>
    </row>
    <row r="463" spans="1:6" x14ac:dyDescent="0.45">
      <c r="A463" s="1">
        <v>44915</v>
      </c>
      <c r="B463">
        <v>269.54000000000002</v>
      </c>
      <c r="C463">
        <v>51064200</v>
      </c>
      <c r="D463">
        <v>268.56</v>
      </c>
      <c r="E463">
        <v>271.32</v>
      </c>
      <c r="F463">
        <v>266.95</v>
      </c>
    </row>
    <row r="464" spans="1:6" x14ac:dyDescent="0.45">
      <c r="A464" s="1">
        <v>44916</v>
      </c>
      <c r="B464">
        <v>273.45</v>
      </c>
      <c r="C464">
        <v>46394690</v>
      </c>
      <c r="D464">
        <v>270.60000000000002</v>
      </c>
      <c r="E464">
        <v>274.77999999999997</v>
      </c>
      <c r="F464">
        <v>269.74</v>
      </c>
    </row>
    <row r="465" spans="1:6" x14ac:dyDescent="0.45">
      <c r="A465" s="1">
        <v>44917</v>
      </c>
      <c r="B465">
        <v>266.76</v>
      </c>
      <c r="C465">
        <v>60278380</v>
      </c>
      <c r="D465">
        <v>270.38</v>
      </c>
      <c r="E465">
        <v>270.51490000000001</v>
      </c>
      <c r="F465">
        <v>262.45499999999998</v>
      </c>
    </row>
    <row r="466" spans="1:6" x14ac:dyDescent="0.45">
      <c r="A466" s="1">
        <v>44918</v>
      </c>
      <c r="B466">
        <v>267.36</v>
      </c>
      <c r="C466">
        <v>39373580</v>
      </c>
      <c r="D466">
        <v>265.47000000000003</v>
      </c>
      <c r="E466">
        <v>268.04000000000002</v>
      </c>
      <c r="F466">
        <v>263.52999999999997</v>
      </c>
    </row>
    <row r="467" spans="1:6" x14ac:dyDescent="0.45">
      <c r="A467" s="1">
        <v>44922</v>
      </c>
      <c r="B467">
        <v>263.58</v>
      </c>
      <c r="C467">
        <v>38009010</v>
      </c>
      <c r="D467">
        <v>266.74</v>
      </c>
      <c r="E467">
        <v>266.85000000000002</v>
      </c>
      <c r="F467">
        <v>263.02999999999997</v>
      </c>
    </row>
    <row r="468" spans="1:6" x14ac:dyDescent="0.45">
      <c r="A468" s="1">
        <v>44923</v>
      </c>
      <c r="B468">
        <v>260.10000000000002</v>
      </c>
      <c r="C468">
        <v>47139040</v>
      </c>
      <c r="D468">
        <v>263.17</v>
      </c>
      <c r="E468">
        <v>265.47000000000003</v>
      </c>
      <c r="F468">
        <v>259.73</v>
      </c>
    </row>
    <row r="469" spans="1:6" x14ac:dyDescent="0.45">
      <c r="A469" s="1">
        <v>44924</v>
      </c>
      <c r="B469">
        <v>266.44</v>
      </c>
      <c r="C469">
        <v>45893570</v>
      </c>
      <c r="D469">
        <v>262.95999999999998</v>
      </c>
      <c r="E469">
        <v>267.40499999999997</v>
      </c>
      <c r="F469">
        <v>262.25</v>
      </c>
    </row>
    <row r="470" spans="1:6" x14ac:dyDescent="0.45">
      <c r="A470" s="1">
        <v>44925</v>
      </c>
      <c r="B470">
        <v>266.27999999999997</v>
      </c>
      <c r="C470">
        <v>37858280</v>
      </c>
      <c r="D470">
        <v>263.62</v>
      </c>
      <c r="E470">
        <v>266.41000000000003</v>
      </c>
      <c r="F470">
        <v>262.29000000000002</v>
      </c>
    </row>
    <row r="471" spans="1:6" x14ac:dyDescent="0.45">
      <c r="A471" s="1">
        <v>44929</v>
      </c>
      <c r="B471">
        <v>264.48</v>
      </c>
      <c r="C471">
        <v>42335330</v>
      </c>
      <c r="D471">
        <v>268.64999999999998</v>
      </c>
      <c r="E471">
        <v>270.15499999999997</v>
      </c>
      <c r="F471">
        <v>262.13</v>
      </c>
    </row>
    <row r="472" spans="1:6" x14ac:dyDescent="0.45">
      <c r="A472" s="1">
        <v>44930</v>
      </c>
      <c r="B472">
        <v>265.74</v>
      </c>
      <c r="C472">
        <v>47754860</v>
      </c>
      <c r="D472">
        <v>266.64</v>
      </c>
      <c r="E472">
        <v>267.45</v>
      </c>
      <c r="F472">
        <v>262.52999999999997</v>
      </c>
    </row>
    <row r="473" spans="1:6" x14ac:dyDescent="0.45">
      <c r="A473" s="1">
        <v>44931</v>
      </c>
      <c r="B473">
        <v>261.58</v>
      </c>
      <c r="C473">
        <v>45396740</v>
      </c>
      <c r="D473">
        <v>264.04000000000002</v>
      </c>
      <c r="E473">
        <v>264.20999999999998</v>
      </c>
      <c r="F473">
        <v>261.26</v>
      </c>
    </row>
    <row r="474" spans="1:6" x14ac:dyDescent="0.45">
      <c r="A474" s="1">
        <v>44932</v>
      </c>
      <c r="B474">
        <v>268.8</v>
      </c>
      <c r="C474">
        <v>54659740</v>
      </c>
      <c r="D474">
        <v>263.35000000000002</v>
      </c>
      <c r="E474">
        <v>269.94</v>
      </c>
      <c r="F474">
        <v>260.33999999999997</v>
      </c>
    </row>
    <row r="475" spans="1:6" x14ac:dyDescent="0.45">
      <c r="A475" s="1">
        <v>44935</v>
      </c>
      <c r="B475">
        <v>270.54000000000002</v>
      </c>
      <c r="C475">
        <v>45568680</v>
      </c>
      <c r="D475">
        <v>270.83</v>
      </c>
      <c r="E475">
        <v>275.29000000000002</v>
      </c>
      <c r="F475">
        <v>269.92</v>
      </c>
    </row>
    <row r="476" spans="1:6" x14ac:dyDescent="0.45">
      <c r="A476" s="1">
        <v>44936</v>
      </c>
      <c r="B476">
        <v>272.83</v>
      </c>
      <c r="C476">
        <v>35247760</v>
      </c>
      <c r="D476">
        <v>269.49</v>
      </c>
      <c r="E476">
        <v>272.94</v>
      </c>
      <c r="F476">
        <v>268.97000000000003</v>
      </c>
    </row>
    <row r="477" spans="1:6" x14ac:dyDescent="0.45">
      <c r="A477" s="1">
        <v>44937</v>
      </c>
      <c r="B477">
        <v>277.55</v>
      </c>
      <c r="C477">
        <v>44077040</v>
      </c>
      <c r="D477">
        <v>273.92</v>
      </c>
      <c r="E477">
        <v>277.66000000000003</v>
      </c>
      <c r="F477">
        <v>273.12</v>
      </c>
    </row>
    <row r="478" spans="1:6" x14ac:dyDescent="0.45">
      <c r="A478" s="1">
        <v>44938</v>
      </c>
      <c r="B478">
        <v>279.05</v>
      </c>
      <c r="C478">
        <v>60599950</v>
      </c>
      <c r="D478">
        <v>278.12</v>
      </c>
      <c r="E478">
        <v>280.10000000000002</v>
      </c>
      <c r="F478">
        <v>273.74</v>
      </c>
    </row>
    <row r="479" spans="1:6" x14ac:dyDescent="0.45">
      <c r="A479" s="1">
        <v>44939</v>
      </c>
      <c r="B479">
        <v>280.97000000000003</v>
      </c>
      <c r="C479">
        <v>44802940</v>
      </c>
      <c r="D479">
        <v>276.5</v>
      </c>
      <c r="E479">
        <v>281.21899999999999</v>
      </c>
      <c r="F479">
        <v>276.16000000000003</v>
      </c>
    </row>
    <row r="480" spans="1:6" x14ac:dyDescent="0.45">
      <c r="A480" s="1">
        <v>44943</v>
      </c>
      <c r="B480">
        <v>281.54000000000002</v>
      </c>
      <c r="C480">
        <v>36269740</v>
      </c>
      <c r="D480">
        <v>280.77</v>
      </c>
      <c r="E480">
        <v>282.85000000000002</v>
      </c>
      <c r="F480">
        <v>279.58100000000002</v>
      </c>
    </row>
    <row r="481" spans="1:6" x14ac:dyDescent="0.45">
      <c r="A481" s="1">
        <v>44944</v>
      </c>
      <c r="B481">
        <v>277.88</v>
      </c>
      <c r="C481">
        <v>47754550</v>
      </c>
      <c r="D481">
        <v>283.11</v>
      </c>
      <c r="E481">
        <v>284.69</v>
      </c>
      <c r="F481">
        <v>277.67</v>
      </c>
    </row>
    <row r="482" spans="1:6" x14ac:dyDescent="0.45">
      <c r="A482" s="1">
        <v>44945</v>
      </c>
      <c r="B482">
        <v>275.14999999999998</v>
      </c>
      <c r="C482">
        <v>44150440</v>
      </c>
      <c r="D482">
        <v>276.22000000000003</v>
      </c>
      <c r="E482">
        <v>277.375</v>
      </c>
      <c r="F482">
        <v>273.89</v>
      </c>
    </row>
    <row r="483" spans="1:6" x14ac:dyDescent="0.45">
      <c r="A483" s="1">
        <v>44946</v>
      </c>
      <c r="B483">
        <v>282.68</v>
      </c>
      <c r="C483">
        <v>60613610</v>
      </c>
      <c r="D483">
        <v>276.79000000000002</v>
      </c>
      <c r="E483">
        <v>283.02</v>
      </c>
      <c r="F483">
        <v>275.70999999999998</v>
      </c>
    </row>
    <row r="484" spans="1:6" x14ac:dyDescent="0.45">
      <c r="A484" s="1">
        <v>44949</v>
      </c>
      <c r="B484">
        <v>288.95999999999998</v>
      </c>
      <c r="C484">
        <v>52799910</v>
      </c>
      <c r="D484">
        <v>283.54000000000002</v>
      </c>
      <c r="E484">
        <v>290.20999999999998</v>
      </c>
      <c r="F484">
        <v>282.73</v>
      </c>
    </row>
    <row r="485" spans="1:6" x14ac:dyDescent="0.45">
      <c r="A485" s="1">
        <v>44950</v>
      </c>
      <c r="B485">
        <v>288.37</v>
      </c>
      <c r="C485">
        <v>44875150</v>
      </c>
      <c r="D485">
        <v>287.31</v>
      </c>
      <c r="E485">
        <v>289.55</v>
      </c>
      <c r="F485">
        <v>286.77999999999997</v>
      </c>
    </row>
    <row r="486" spans="1:6" x14ac:dyDescent="0.45">
      <c r="A486" s="1">
        <v>44951</v>
      </c>
      <c r="B486">
        <v>287.73</v>
      </c>
      <c r="C486">
        <v>50872020</v>
      </c>
      <c r="D486">
        <v>283.77</v>
      </c>
      <c r="E486">
        <v>288.36</v>
      </c>
      <c r="F486">
        <v>281.18</v>
      </c>
    </row>
    <row r="487" spans="1:6" x14ac:dyDescent="0.45">
      <c r="A487" s="1">
        <v>44952</v>
      </c>
      <c r="B487">
        <v>293.33999999999997</v>
      </c>
      <c r="C487">
        <v>51596340</v>
      </c>
      <c r="D487">
        <v>291.22000000000003</v>
      </c>
      <c r="E487">
        <v>293.52</v>
      </c>
      <c r="F487">
        <v>288.51900000000001</v>
      </c>
    </row>
    <row r="488" spans="1:6" x14ac:dyDescent="0.45">
      <c r="A488" s="1">
        <v>44953</v>
      </c>
      <c r="B488">
        <v>296.26</v>
      </c>
      <c r="C488">
        <v>56441940</v>
      </c>
      <c r="D488">
        <v>292</v>
      </c>
      <c r="E488">
        <v>298.26</v>
      </c>
      <c r="F488">
        <v>291.88</v>
      </c>
    </row>
    <row r="489" spans="1:6" x14ac:dyDescent="0.45">
      <c r="A489" s="1">
        <v>44956</v>
      </c>
      <c r="B489">
        <v>290.27</v>
      </c>
      <c r="C489">
        <v>49405830</v>
      </c>
      <c r="D489">
        <v>292.93</v>
      </c>
      <c r="E489">
        <v>294.38</v>
      </c>
      <c r="F489">
        <v>289.89</v>
      </c>
    </row>
    <row r="490" spans="1:6" x14ac:dyDescent="0.45">
      <c r="A490" s="1">
        <v>44957</v>
      </c>
      <c r="B490">
        <v>294.62</v>
      </c>
      <c r="C490">
        <v>46705110</v>
      </c>
      <c r="D490">
        <v>290.31</v>
      </c>
      <c r="E490">
        <v>294.72000000000003</v>
      </c>
      <c r="F490">
        <v>290.2</v>
      </c>
    </row>
    <row r="491" spans="1:6" x14ac:dyDescent="0.45">
      <c r="A491" s="1">
        <v>44958</v>
      </c>
      <c r="B491">
        <v>300.92</v>
      </c>
      <c r="C491">
        <v>67562170</v>
      </c>
      <c r="D491">
        <v>294.41000000000003</v>
      </c>
      <c r="E491">
        <v>303.43</v>
      </c>
      <c r="F491">
        <v>292.3</v>
      </c>
    </row>
    <row r="492" spans="1:6" x14ac:dyDescent="0.45">
      <c r="A492" s="1">
        <v>44959</v>
      </c>
      <c r="B492">
        <v>311.72000000000003</v>
      </c>
      <c r="C492">
        <v>83070630</v>
      </c>
      <c r="D492">
        <v>307.57</v>
      </c>
      <c r="E492">
        <v>313.68</v>
      </c>
      <c r="F492">
        <v>306.73</v>
      </c>
    </row>
    <row r="493" spans="1:6" x14ac:dyDescent="0.45">
      <c r="A493" s="1">
        <v>44960</v>
      </c>
      <c r="B493">
        <v>306.18</v>
      </c>
      <c r="C493">
        <v>76170800</v>
      </c>
      <c r="D493">
        <v>304.94</v>
      </c>
      <c r="E493">
        <v>312.39</v>
      </c>
      <c r="F493">
        <v>304.54000000000002</v>
      </c>
    </row>
    <row r="494" spans="1:6" x14ac:dyDescent="0.45">
      <c r="A494" s="1">
        <v>44963</v>
      </c>
      <c r="B494">
        <v>303.58999999999997</v>
      </c>
      <c r="C494">
        <v>40802350</v>
      </c>
      <c r="D494">
        <v>303.51</v>
      </c>
      <c r="E494">
        <v>305.91000000000003</v>
      </c>
      <c r="F494">
        <v>302.22000000000003</v>
      </c>
    </row>
    <row r="495" spans="1:6" x14ac:dyDescent="0.45">
      <c r="A495" s="1">
        <v>44964</v>
      </c>
      <c r="B495">
        <v>309.88</v>
      </c>
      <c r="C495">
        <v>67583980</v>
      </c>
      <c r="D495">
        <v>303.45999999999998</v>
      </c>
      <c r="E495">
        <v>311.02999999999997</v>
      </c>
      <c r="F495">
        <v>302.32</v>
      </c>
    </row>
    <row r="496" spans="1:6" x14ac:dyDescent="0.45">
      <c r="A496" s="1">
        <v>44965</v>
      </c>
      <c r="B496">
        <v>304.37</v>
      </c>
      <c r="C496">
        <v>56720860</v>
      </c>
      <c r="D496">
        <v>308.54000000000002</v>
      </c>
      <c r="E496">
        <v>309.5</v>
      </c>
      <c r="F496">
        <v>303.67</v>
      </c>
    </row>
    <row r="497" spans="1:6" x14ac:dyDescent="0.45">
      <c r="A497" s="1">
        <v>44966</v>
      </c>
      <c r="B497">
        <v>301.68</v>
      </c>
      <c r="C497">
        <v>49137820</v>
      </c>
      <c r="D497">
        <v>308.83999999999997</v>
      </c>
      <c r="E497">
        <v>308.99</v>
      </c>
      <c r="F497">
        <v>300.2</v>
      </c>
    </row>
    <row r="498" spans="1:6" x14ac:dyDescent="0.45">
      <c r="A498" s="1">
        <v>44967</v>
      </c>
      <c r="B498">
        <v>299.7</v>
      </c>
      <c r="C498">
        <v>50050100</v>
      </c>
      <c r="D498">
        <v>299.48</v>
      </c>
      <c r="E498">
        <v>301.57</v>
      </c>
      <c r="F498">
        <v>297.25</v>
      </c>
    </row>
    <row r="499" spans="1:6" x14ac:dyDescent="0.45">
      <c r="A499" s="1">
        <v>44970</v>
      </c>
      <c r="B499">
        <v>304.5</v>
      </c>
      <c r="C499">
        <v>39636720</v>
      </c>
      <c r="D499">
        <v>301.13</v>
      </c>
      <c r="E499">
        <v>305.10000000000002</v>
      </c>
      <c r="F499">
        <v>299.93</v>
      </c>
    </row>
    <row r="500" spans="1:6" x14ac:dyDescent="0.45">
      <c r="A500" s="1">
        <v>44971</v>
      </c>
      <c r="B500">
        <v>306.75</v>
      </c>
      <c r="C500">
        <v>64079060</v>
      </c>
      <c r="D500">
        <v>302.89</v>
      </c>
      <c r="E500">
        <v>307.72000000000003</v>
      </c>
      <c r="F500">
        <v>300.91000000000003</v>
      </c>
    </row>
    <row r="501" spans="1:6" x14ac:dyDescent="0.45">
      <c r="A501" s="1">
        <v>44972</v>
      </c>
      <c r="B501">
        <v>309.10000000000002</v>
      </c>
      <c r="C501">
        <v>43427300</v>
      </c>
      <c r="D501">
        <v>304.89999999999998</v>
      </c>
      <c r="E501">
        <v>309.27</v>
      </c>
      <c r="F501">
        <v>304.2</v>
      </c>
    </row>
    <row r="502" spans="1:6" x14ac:dyDescent="0.45">
      <c r="A502" s="1">
        <v>44973</v>
      </c>
      <c r="B502">
        <v>303.3</v>
      </c>
      <c r="C502">
        <v>59498630</v>
      </c>
      <c r="D502">
        <v>304.38</v>
      </c>
      <c r="E502">
        <v>308.43</v>
      </c>
      <c r="F502">
        <v>303.14999999999998</v>
      </c>
    </row>
    <row r="503" spans="1:6" x14ac:dyDescent="0.45">
      <c r="A503" s="1">
        <v>44974</v>
      </c>
      <c r="B503">
        <v>301.16000000000003</v>
      </c>
      <c r="C503">
        <v>58230730</v>
      </c>
      <c r="D503">
        <v>301.07</v>
      </c>
      <c r="E503">
        <v>301.93</v>
      </c>
      <c r="F503">
        <v>298.10000000000002</v>
      </c>
    </row>
    <row r="504" spans="1:6" x14ac:dyDescent="0.45">
      <c r="A504" s="1">
        <v>44978</v>
      </c>
      <c r="B504">
        <v>294.02999999999997</v>
      </c>
      <c r="C504">
        <v>46526710</v>
      </c>
      <c r="D504">
        <v>297.26</v>
      </c>
      <c r="E504">
        <v>298.73</v>
      </c>
      <c r="F504">
        <v>293.89</v>
      </c>
    </row>
    <row r="505" spans="1:6" x14ac:dyDescent="0.45">
      <c r="A505" s="1">
        <v>44979</v>
      </c>
      <c r="B505">
        <v>294.25</v>
      </c>
      <c r="C505">
        <v>51389240</v>
      </c>
      <c r="D505">
        <v>294.62</v>
      </c>
      <c r="E505">
        <v>296.35989999999998</v>
      </c>
      <c r="F505">
        <v>292.56</v>
      </c>
    </row>
    <row r="506" spans="1:6" x14ac:dyDescent="0.45">
      <c r="A506" s="1">
        <v>44980</v>
      </c>
      <c r="B506">
        <v>296.82</v>
      </c>
      <c r="C506">
        <v>69294440</v>
      </c>
      <c r="D506">
        <v>297.97000000000003</v>
      </c>
      <c r="E506">
        <v>298.13</v>
      </c>
      <c r="F506">
        <v>292.55</v>
      </c>
    </row>
    <row r="507" spans="1:6" x14ac:dyDescent="0.45">
      <c r="A507" s="1">
        <v>44981</v>
      </c>
      <c r="B507">
        <v>291.85000000000002</v>
      </c>
      <c r="C507">
        <v>74331960</v>
      </c>
      <c r="D507">
        <v>291.76</v>
      </c>
      <c r="E507">
        <v>292.97000000000003</v>
      </c>
      <c r="F507">
        <v>290.05</v>
      </c>
    </row>
    <row r="508" spans="1:6" x14ac:dyDescent="0.45">
      <c r="A508" s="1">
        <v>44984</v>
      </c>
      <c r="B508">
        <v>293.94</v>
      </c>
      <c r="C508">
        <v>48995010</v>
      </c>
      <c r="D508">
        <v>295.07</v>
      </c>
      <c r="E508">
        <v>296.49</v>
      </c>
      <c r="F508">
        <v>293.33999999999997</v>
      </c>
    </row>
    <row r="509" spans="1:6" x14ac:dyDescent="0.45">
      <c r="A509" s="1">
        <v>44985</v>
      </c>
      <c r="B509">
        <v>293.56</v>
      </c>
      <c r="C509">
        <v>48243140</v>
      </c>
      <c r="D509">
        <v>293.3</v>
      </c>
      <c r="E509">
        <v>296.12400000000002</v>
      </c>
      <c r="F509">
        <v>292.95999999999998</v>
      </c>
    </row>
    <row r="510" spans="1:6" x14ac:dyDescent="0.45">
      <c r="A510" s="1">
        <v>44986</v>
      </c>
      <c r="B510">
        <v>291.2</v>
      </c>
      <c r="C510">
        <v>58286970</v>
      </c>
      <c r="D510">
        <v>293.26</v>
      </c>
      <c r="E510">
        <v>293.93</v>
      </c>
      <c r="F510">
        <v>290.2</v>
      </c>
    </row>
    <row r="511" spans="1:6" x14ac:dyDescent="0.45">
      <c r="A511" s="1">
        <v>44987</v>
      </c>
      <c r="B511">
        <v>293.61</v>
      </c>
      <c r="C511">
        <v>53738560</v>
      </c>
      <c r="D511">
        <v>288.66000000000003</v>
      </c>
      <c r="E511">
        <v>294.43</v>
      </c>
      <c r="F511">
        <v>288.37</v>
      </c>
    </row>
    <row r="512" spans="1:6" x14ac:dyDescent="0.45">
      <c r="A512" s="1">
        <v>44988</v>
      </c>
      <c r="B512">
        <v>299.68</v>
      </c>
      <c r="C512">
        <v>60511540</v>
      </c>
      <c r="D512">
        <v>295.39</v>
      </c>
      <c r="E512">
        <v>299.92</v>
      </c>
      <c r="F512">
        <v>294.87</v>
      </c>
    </row>
    <row r="513" spans="1:6" x14ac:dyDescent="0.45">
      <c r="A513" s="1">
        <v>44991</v>
      </c>
      <c r="B513">
        <v>300.02</v>
      </c>
      <c r="C513">
        <v>56736290</v>
      </c>
      <c r="D513">
        <v>300.94</v>
      </c>
      <c r="E513">
        <v>304</v>
      </c>
      <c r="F513">
        <v>299.82</v>
      </c>
    </row>
    <row r="514" spans="1:6" x14ac:dyDescent="0.45">
      <c r="A514" s="1">
        <v>44992</v>
      </c>
      <c r="B514">
        <v>296.33999999999997</v>
      </c>
      <c r="C514">
        <v>65955760</v>
      </c>
      <c r="D514">
        <v>300.07</v>
      </c>
      <c r="E514">
        <v>301.01</v>
      </c>
      <c r="F514">
        <v>295.72000000000003</v>
      </c>
    </row>
    <row r="515" spans="1:6" x14ac:dyDescent="0.45">
      <c r="A515" s="1">
        <v>44993</v>
      </c>
      <c r="B515">
        <v>297.82</v>
      </c>
      <c r="C515">
        <v>50876270</v>
      </c>
      <c r="D515">
        <v>296.77</v>
      </c>
      <c r="E515">
        <v>298.43</v>
      </c>
      <c r="F515">
        <v>294.88</v>
      </c>
    </row>
    <row r="516" spans="1:6" x14ac:dyDescent="0.45">
      <c r="A516" s="1">
        <v>44994</v>
      </c>
      <c r="B516">
        <v>292.66000000000003</v>
      </c>
      <c r="C516">
        <v>71456690</v>
      </c>
      <c r="D516">
        <v>298.33</v>
      </c>
      <c r="E516">
        <v>300.98</v>
      </c>
      <c r="F516">
        <v>291.82990000000001</v>
      </c>
    </row>
    <row r="517" spans="1:6" x14ac:dyDescent="0.45">
      <c r="A517" s="1">
        <v>44995</v>
      </c>
      <c r="B517">
        <v>288.55</v>
      </c>
      <c r="C517">
        <v>98593560</v>
      </c>
      <c r="D517">
        <v>292.83</v>
      </c>
      <c r="E517">
        <v>294.35000000000002</v>
      </c>
      <c r="F517">
        <v>287.38</v>
      </c>
    </row>
    <row r="518" spans="1:6" x14ac:dyDescent="0.45">
      <c r="A518" s="1">
        <v>44998</v>
      </c>
      <c r="B518">
        <v>290.69</v>
      </c>
      <c r="C518">
        <v>97123600</v>
      </c>
      <c r="D518">
        <v>286.73</v>
      </c>
      <c r="E518">
        <v>294.47000000000003</v>
      </c>
      <c r="F518">
        <v>285.19</v>
      </c>
    </row>
    <row r="519" spans="1:6" x14ac:dyDescent="0.45">
      <c r="A519" s="1">
        <v>44999</v>
      </c>
      <c r="B519">
        <v>297.37</v>
      </c>
      <c r="C519">
        <v>73602550</v>
      </c>
      <c r="D519">
        <v>294.31</v>
      </c>
      <c r="E519">
        <v>297.93</v>
      </c>
      <c r="F519">
        <v>293.45</v>
      </c>
    </row>
    <row r="520" spans="1:6" x14ac:dyDescent="0.45">
      <c r="A520" s="1">
        <v>45000</v>
      </c>
      <c r="B520">
        <v>298.93</v>
      </c>
      <c r="C520">
        <v>83631540</v>
      </c>
      <c r="D520">
        <v>294.70999999999998</v>
      </c>
      <c r="E520">
        <v>299.27</v>
      </c>
      <c r="F520">
        <v>293.24</v>
      </c>
    </row>
    <row r="521" spans="1:6" x14ac:dyDescent="0.45">
      <c r="A521" s="1">
        <v>45001</v>
      </c>
      <c r="B521">
        <v>306.81</v>
      </c>
      <c r="C521">
        <v>98556820</v>
      </c>
      <c r="D521">
        <v>298</v>
      </c>
      <c r="E521">
        <v>307.18</v>
      </c>
      <c r="F521">
        <v>297.19</v>
      </c>
    </row>
    <row r="522" spans="1:6" x14ac:dyDescent="0.45">
      <c r="A522" s="1">
        <v>45002</v>
      </c>
      <c r="B522">
        <v>305.36</v>
      </c>
      <c r="C522">
        <v>89923730</v>
      </c>
      <c r="D522">
        <v>306.72000000000003</v>
      </c>
      <c r="E522">
        <v>309.14999999999998</v>
      </c>
      <c r="F522">
        <v>303.37</v>
      </c>
    </row>
    <row r="523" spans="1:6" x14ac:dyDescent="0.45">
      <c r="A523" s="1">
        <v>45005</v>
      </c>
      <c r="B523">
        <v>305.97000000000003</v>
      </c>
      <c r="C523">
        <v>56359490</v>
      </c>
      <c r="D523">
        <v>304.26</v>
      </c>
      <c r="E523">
        <v>306.3</v>
      </c>
      <c r="F523">
        <v>302.01</v>
      </c>
    </row>
    <row r="524" spans="1:6" x14ac:dyDescent="0.45">
      <c r="A524" s="1">
        <v>45006</v>
      </c>
      <c r="B524">
        <v>310.33999999999997</v>
      </c>
      <c r="C524">
        <v>49757050</v>
      </c>
      <c r="D524">
        <v>307.94</v>
      </c>
      <c r="E524">
        <v>310.8</v>
      </c>
      <c r="F524">
        <v>306.39499999999998</v>
      </c>
    </row>
    <row r="525" spans="1:6" x14ac:dyDescent="0.45">
      <c r="A525" s="1">
        <v>45007</v>
      </c>
      <c r="B525">
        <v>306.12</v>
      </c>
      <c r="C525">
        <v>75791910</v>
      </c>
      <c r="D525">
        <v>310.27</v>
      </c>
      <c r="E525">
        <v>315.25</v>
      </c>
      <c r="F525">
        <v>305.95</v>
      </c>
    </row>
    <row r="526" spans="1:6" x14ac:dyDescent="0.45">
      <c r="A526" s="1">
        <v>45008</v>
      </c>
      <c r="B526">
        <v>309.75</v>
      </c>
      <c r="C526">
        <v>74575980</v>
      </c>
      <c r="D526">
        <v>309.92</v>
      </c>
      <c r="E526">
        <v>314.14999999999998</v>
      </c>
      <c r="F526">
        <v>307.01</v>
      </c>
    </row>
    <row r="527" spans="1:6" x14ac:dyDescent="0.45">
      <c r="A527" s="1">
        <v>45009</v>
      </c>
      <c r="B527">
        <v>310.89</v>
      </c>
      <c r="C527">
        <v>57245800</v>
      </c>
      <c r="D527">
        <v>309.32</v>
      </c>
      <c r="E527">
        <v>310.99</v>
      </c>
      <c r="F527">
        <v>306.95</v>
      </c>
    </row>
    <row r="528" spans="1:6" x14ac:dyDescent="0.45">
      <c r="A528" s="1">
        <v>45012</v>
      </c>
      <c r="B528">
        <v>308.76</v>
      </c>
      <c r="C528">
        <v>50287410</v>
      </c>
      <c r="D528">
        <v>311.60000000000002</v>
      </c>
      <c r="E528">
        <v>312.7</v>
      </c>
      <c r="F528">
        <v>307.89</v>
      </c>
    </row>
    <row r="529" spans="1:6" x14ac:dyDescent="0.45">
      <c r="A529" s="1">
        <v>45013</v>
      </c>
      <c r="B529">
        <v>307.12</v>
      </c>
      <c r="C529">
        <v>48585920</v>
      </c>
      <c r="D529">
        <v>308.17</v>
      </c>
      <c r="E529">
        <v>308.2</v>
      </c>
      <c r="F529">
        <v>304.774</v>
      </c>
    </row>
    <row r="530" spans="1:6" x14ac:dyDescent="0.45">
      <c r="A530" s="1">
        <v>45014</v>
      </c>
      <c r="B530">
        <v>312.72000000000003</v>
      </c>
      <c r="C530">
        <v>53274270</v>
      </c>
      <c r="D530">
        <v>310.88</v>
      </c>
      <c r="E530">
        <v>313.35000000000002</v>
      </c>
      <c r="F530">
        <v>310.05</v>
      </c>
    </row>
    <row r="531" spans="1:6" x14ac:dyDescent="0.45">
      <c r="A531" s="1">
        <v>45015</v>
      </c>
      <c r="B531">
        <v>315.68</v>
      </c>
      <c r="C531">
        <v>58354810</v>
      </c>
      <c r="D531">
        <v>315.24</v>
      </c>
      <c r="E531">
        <v>316.32</v>
      </c>
      <c r="F531">
        <v>312.80880000000002</v>
      </c>
    </row>
    <row r="532" spans="1:6" x14ac:dyDescent="0.45">
      <c r="A532" s="1">
        <v>45016</v>
      </c>
      <c r="B532">
        <v>320.93</v>
      </c>
      <c r="C532">
        <v>62138100</v>
      </c>
      <c r="D532">
        <v>315.91000000000003</v>
      </c>
      <c r="E532">
        <v>321.17</v>
      </c>
      <c r="F532">
        <v>315.60000000000002</v>
      </c>
    </row>
    <row r="533" spans="1:6" x14ac:dyDescent="0.45">
      <c r="A533" s="1">
        <v>45019</v>
      </c>
      <c r="B533">
        <v>320.14999999999998</v>
      </c>
      <c r="C533">
        <v>47126840</v>
      </c>
      <c r="D533">
        <v>318.77</v>
      </c>
      <c r="E533">
        <v>320.42</v>
      </c>
      <c r="F533">
        <v>317.42009999999999</v>
      </c>
    </row>
    <row r="534" spans="1:6" x14ac:dyDescent="0.45">
      <c r="A534" s="1">
        <v>45020</v>
      </c>
      <c r="B534">
        <v>319.07</v>
      </c>
      <c r="C534">
        <v>45875380</v>
      </c>
      <c r="D534">
        <v>320.60000000000002</v>
      </c>
      <c r="E534">
        <v>321.63</v>
      </c>
      <c r="F534">
        <v>317.82510000000002</v>
      </c>
    </row>
    <row r="535" spans="1:6" x14ac:dyDescent="0.45">
      <c r="A535" s="1">
        <v>45021</v>
      </c>
      <c r="B535">
        <v>315.92</v>
      </c>
      <c r="C535">
        <v>62795710</v>
      </c>
      <c r="D535">
        <v>318.10000000000002</v>
      </c>
      <c r="E535">
        <v>319.06</v>
      </c>
      <c r="F535">
        <v>314.07</v>
      </c>
    </row>
    <row r="536" spans="1:6" x14ac:dyDescent="0.45">
      <c r="A536" s="1">
        <v>45022</v>
      </c>
      <c r="B536">
        <v>318.05</v>
      </c>
      <c r="C536">
        <v>46916500</v>
      </c>
      <c r="D536">
        <v>314.24</v>
      </c>
      <c r="E536">
        <v>318.55</v>
      </c>
      <c r="F536">
        <v>312.82</v>
      </c>
    </row>
    <row r="537" spans="1:6" x14ac:dyDescent="0.45">
      <c r="A537" s="1">
        <v>45026</v>
      </c>
      <c r="B537">
        <v>317.87</v>
      </c>
      <c r="C537">
        <v>45134740</v>
      </c>
      <c r="D537">
        <v>315.07</v>
      </c>
      <c r="E537">
        <v>317.92</v>
      </c>
      <c r="F537">
        <v>313.25</v>
      </c>
    </row>
    <row r="538" spans="1:6" x14ac:dyDescent="0.45">
      <c r="A538" s="1">
        <v>45027</v>
      </c>
      <c r="B538">
        <v>315.83</v>
      </c>
      <c r="C538">
        <v>40113590</v>
      </c>
      <c r="D538">
        <v>317.83</v>
      </c>
      <c r="E538">
        <v>317.89</v>
      </c>
      <c r="F538">
        <v>315.31</v>
      </c>
    </row>
    <row r="539" spans="1:6" x14ac:dyDescent="0.45">
      <c r="A539" s="1">
        <v>45028</v>
      </c>
      <c r="B539">
        <v>313.04000000000002</v>
      </c>
      <c r="C539">
        <v>62813310</v>
      </c>
      <c r="D539">
        <v>317.82</v>
      </c>
      <c r="E539">
        <v>318.42</v>
      </c>
      <c r="F539">
        <v>312.565</v>
      </c>
    </row>
    <row r="540" spans="1:6" x14ac:dyDescent="0.45">
      <c r="A540" s="1">
        <v>45029</v>
      </c>
      <c r="B540">
        <v>319.17</v>
      </c>
      <c r="C540">
        <v>54613790</v>
      </c>
      <c r="D540">
        <v>314.83</v>
      </c>
      <c r="E540">
        <v>319.64999999999998</v>
      </c>
      <c r="F540">
        <v>313.63</v>
      </c>
    </row>
    <row r="541" spans="1:6" x14ac:dyDescent="0.45">
      <c r="A541" s="1">
        <v>45030</v>
      </c>
      <c r="B541">
        <v>318.57</v>
      </c>
      <c r="C541">
        <v>56278280</v>
      </c>
      <c r="D541">
        <v>317.58999999999997</v>
      </c>
      <c r="E541">
        <v>320.36</v>
      </c>
      <c r="F541">
        <v>315.61</v>
      </c>
    </row>
    <row r="542" spans="1:6" x14ac:dyDescent="0.45">
      <c r="A542" s="1">
        <v>45033</v>
      </c>
      <c r="B542">
        <v>318.83999999999997</v>
      </c>
      <c r="C542">
        <v>43007020</v>
      </c>
      <c r="D542">
        <v>318.14999999999998</v>
      </c>
      <c r="E542">
        <v>319.19990000000001</v>
      </c>
      <c r="F542">
        <v>316.04000000000002</v>
      </c>
    </row>
    <row r="543" spans="1:6" x14ac:dyDescent="0.45">
      <c r="A543" s="1">
        <v>45034</v>
      </c>
      <c r="B543">
        <v>318.86</v>
      </c>
      <c r="C543">
        <v>46746940</v>
      </c>
      <c r="D543">
        <v>320.99</v>
      </c>
      <c r="E543">
        <v>321.42</v>
      </c>
      <c r="F543">
        <v>317.64</v>
      </c>
    </row>
    <row r="544" spans="1:6" x14ac:dyDescent="0.45">
      <c r="A544" s="1">
        <v>45035</v>
      </c>
      <c r="B544">
        <v>318.70999999999998</v>
      </c>
      <c r="C544">
        <v>38960130</v>
      </c>
      <c r="D544">
        <v>316.41000000000003</v>
      </c>
      <c r="E544">
        <v>319.79000000000002</v>
      </c>
      <c r="F544">
        <v>316.27999999999997</v>
      </c>
    </row>
    <row r="545" spans="1:6" x14ac:dyDescent="0.45">
      <c r="A545" s="1">
        <v>45036</v>
      </c>
      <c r="B545">
        <v>316.27999999999997</v>
      </c>
      <c r="C545">
        <v>62462140</v>
      </c>
      <c r="D545">
        <v>315.69</v>
      </c>
      <c r="E545">
        <v>319.27</v>
      </c>
      <c r="F545">
        <v>314.97000000000003</v>
      </c>
    </row>
    <row r="546" spans="1:6" x14ac:dyDescent="0.45">
      <c r="A546" s="1">
        <v>45037</v>
      </c>
      <c r="B546">
        <v>316.61</v>
      </c>
      <c r="C546">
        <v>59002290</v>
      </c>
      <c r="D546">
        <v>315.91000000000003</v>
      </c>
      <c r="E546">
        <v>317.39999999999998</v>
      </c>
      <c r="F546">
        <v>314.10000000000002</v>
      </c>
    </row>
    <row r="547" spans="1:6" x14ac:dyDescent="0.45">
      <c r="A547" s="1">
        <v>45040</v>
      </c>
      <c r="B547">
        <v>315.95</v>
      </c>
      <c r="C547">
        <v>44043060</v>
      </c>
      <c r="D547">
        <v>316.38</v>
      </c>
      <c r="E547">
        <v>317.73910000000001</v>
      </c>
      <c r="F547">
        <v>313.74</v>
      </c>
    </row>
    <row r="548" spans="1:6" x14ac:dyDescent="0.45">
      <c r="A548" s="1">
        <v>45041</v>
      </c>
      <c r="B548">
        <v>309.99</v>
      </c>
      <c r="C548">
        <v>57121640</v>
      </c>
      <c r="D548">
        <v>314.29000000000002</v>
      </c>
      <c r="E548">
        <v>314.97000000000003</v>
      </c>
      <c r="F548">
        <v>309.89</v>
      </c>
    </row>
    <row r="549" spans="1:6" x14ac:dyDescent="0.45">
      <c r="A549" s="1">
        <v>45042</v>
      </c>
      <c r="B549">
        <v>311.87</v>
      </c>
      <c r="C549">
        <v>55400500</v>
      </c>
      <c r="D549">
        <v>313.44</v>
      </c>
      <c r="E549">
        <v>314.935</v>
      </c>
      <c r="F549">
        <v>311.33999999999997</v>
      </c>
    </row>
    <row r="550" spans="1:6" x14ac:dyDescent="0.45">
      <c r="A550" s="1">
        <v>45043</v>
      </c>
      <c r="B550">
        <v>320.35000000000002</v>
      </c>
      <c r="C550">
        <v>65430390</v>
      </c>
      <c r="D550">
        <v>315.7</v>
      </c>
      <c r="E550">
        <v>320.86</v>
      </c>
      <c r="F550">
        <v>315.05</v>
      </c>
    </row>
    <row r="551" spans="1:6" x14ac:dyDescent="0.45">
      <c r="A551" s="1">
        <v>45044</v>
      </c>
      <c r="B551">
        <v>322.56</v>
      </c>
      <c r="C551">
        <v>59712640</v>
      </c>
      <c r="D551">
        <v>320.11</v>
      </c>
      <c r="E551">
        <v>322.64999999999998</v>
      </c>
      <c r="F551">
        <v>318.95999999999998</v>
      </c>
    </row>
    <row r="552" spans="1:6" x14ac:dyDescent="0.45">
      <c r="A552" s="1">
        <v>45047</v>
      </c>
      <c r="B552">
        <v>322.19</v>
      </c>
      <c r="C552">
        <v>41013390</v>
      </c>
      <c r="D552">
        <v>322.08999999999997</v>
      </c>
      <c r="E552">
        <v>323.63</v>
      </c>
      <c r="F552">
        <v>321.08999999999997</v>
      </c>
    </row>
    <row r="553" spans="1:6" x14ac:dyDescent="0.45">
      <c r="A553" s="1">
        <v>45048</v>
      </c>
      <c r="B553">
        <v>319.38</v>
      </c>
      <c r="C553">
        <v>56519410</v>
      </c>
      <c r="D553">
        <v>322.12</v>
      </c>
      <c r="E553">
        <v>322.45</v>
      </c>
      <c r="F553">
        <v>317.61</v>
      </c>
    </row>
    <row r="554" spans="1:6" x14ac:dyDescent="0.45">
      <c r="A554" s="1">
        <v>45049</v>
      </c>
      <c r="B554">
        <v>317.29000000000002</v>
      </c>
      <c r="C554">
        <v>59882070</v>
      </c>
      <c r="D554">
        <v>319.75</v>
      </c>
      <c r="E554">
        <v>322.47000000000003</v>
      </c>
      <c r="F554">
        <v>317.18</v>
      </c>
    </row>
    <row r="555" spans="1:6" x14ac:dyDescent="0.45">
      <c r="A555" s="1">
        <v>45050</v>
      </c>
      <c r="B555">
        <v>316.17</v>
      </c>
      <c r="C555">
        <v>50224520</v>
      </c>
      <c r="D555">
        <v>317.06</v>
      </c>
      <c r="E555">
        <v>318.23</v>
      </c>
      <c r="F555">
        <v>315.11500000000001</v>
      </c>
    </row>
    <row r="556" spans="1:6" x14ac:dyDescent="0.45">
      <c r="A556" s="1">
        <v>45051</v>
      </c>
      <c r="B556">
        <v>322.89</v>
      </c>
      <c r="C556">
        <v>51806100</v>
      </c>
      <c r="D556">
        <v>318.47000000000003</v>
      </c>
      <c r="E556">
        <v>323.76</v>
      </c>
      <c r="F556">
        <v>316.21159999999998</v>
      </c>
    </row>
    <row r="557" spans="1:6" x14ac:dyDescent="0.45">
      <c r="A557" s="1">
        <v>45054</v>
      </c>
      <c r="B557">
        <v>323.69</v>
      </c>
      <c r="C557">
        <v>36465800</v>
      </c>
      <c r="D557">
        <v>322.42</v>
      </c>
      <c r="E557">
        <v>324.04000000000002</v>
      </c>
      <c r="F557">
        <v>321.315</v>
      </c>
    </row>
    <row r="558" spans="1:6" x14ac:dyDescent="0.45">
      <c r="A558" s="1">
        <v>45055</v>
      </c>
      <c r="B558">
        <v>321.64</v>
      </c>
      <c r="C558">
        <v>31768800</v>
      </c>
      <c r="D558">
        <v>322</v>
      </c>
      <c r="E558">
        <v>322.88</v>
      </c>
      <c r="F558">
        <v>321.32</v>
      </c>
    </row>
    <row r="559" spans="1:6" x14ac:dyDescent="0.45">
      <c r="A559" s="1">
        <v>45056</v>
      </c>
      <c r="B559">
        <v>325.14</v>
      </c>
      <c r="C559">
        <v>60446620</v>
      </c>
      <c r="D559">
        <v>324.12</v>
      </c>
      <c r="E559">
        <v>326.01</v>
      </c>
      <c r="F559">
        <v>321.60000000000002</v>
      </c>
    </row>
    <row r="560" spans="1:6" x14ac:dyDescent="0.45">
      <c r="A560" s="1">
        <v>45057</v>
      </c>
      <c r="B560">
        <v>326.2</v>
      </c>
      <c r="C560">
        <v>44278550</v>
      </c>
      <c r="D560">
        <v>325.7</v>
      </c>
      <c r="E560">
        <v>326.75</v>
      </c>
      <c r="F560">
        <v>324.12</v>
      </c>
    </row>
    <row r="561" spans="1:6" x14ac:dyDescent="0.45">
      <c r="A561" s="1">
        <v>45058</v>
      </c>
      <c r="B561">
        <v>325.02999999999997</v>
      </c>
      <c r="C561">
        <v>48432840</v>
      </c>
      <c r="D561">
        <v>326.74</v>
      </c>
      <c r="E561">
        <v>327.17</v>
      </c>
      <c r="F561">
        <v>322.94</v>
      </c>
    </row>
    <row r="562" spans="1:6" x14ac:dyDescent="0.45">
      <c r="A562" s="1">
        <v>45061</v>
      </c>
      <c r="B562">
        <v>326.79000000000002</v>
      </c>
      <c r="C562">
        <v>33375560</v>
      </c>
      <c r="D562">
        <v>325.51</v>
      </c>
      <c r="E562">
        <v>327.02999999999997</v>
      </c>
      <c r="F562">
        <v>323.95999999999998</v>
      </c>
    </row>
    <row r="563" spans="1:6" x14ac:dyDescent="0.45">
      <c r="A563" s="1">
        <v>45062</v>
      </c>
      <c r="B563">
        <v>327.16000000000003</v>
      </c>
      <c r="C563">
        <v>40019150</v>
      </c>
      <c r="D563">
        <v>326.06</v>
      </c>
      <c r="E563">
        <v>328.90249999999997</v>
      </c>
      <c r="F563">
        <v>326.02</v>
      </c>
    </row>
    <row r="564" spans="1:6" x14ac:dyDescent="0.45">
      <c r="A564" s="1">
        <v>45063</v>
      </c>
      <c r="B564">
        <v>331.12</v>
      </c>
      <c r="C564">
        <v>47486120</v>
      </c>
      <c r="D564">
        <v>328.24</v>
      </c>
      <c r="E564">
        <v>331.71</v>
      </c>
      <c r="F564">
        <v>327.04000000000002</v>
      </c>
    </row>
    <row r="565" spans="1:6" x14ac:dyDescent="0.45">
      <c r="A565" s="1">
        <v>45064</v>
      </c>
      <c r="B565">
        <v>337.27</v>
      </c>
      <c r="C565">
        <v>64213470</v>
      </c>
      <c r="D565">
        <v>331.52</v>
      </c>
      <c r="E565">
        <v>337.49</v>
      </c>
      <c r="F565">
        <v>331.5</v>
      </c>
    </row>
    <row r="566" spans="1:6" x14ac:dyDescent="0.45">
      <c r="A566" s="1">
        <v>45065</v>
      </c>
      <c r="B566">
        <v>336.51</v>
      </c>
      <c r="C566">
        <v>61554930</v>
      </c>
      <c r="D566">
        <v>337.49</v>
      </c>
      <c r="E566">
        <v>338.20499999999998</v>
      </c>
      <c r="F566">
        <v>335.43</v>
      </c>
    </row>
    <row r="567" spans="1:6" x14ac:dyDescent="0.45">
      <c r="A567" s="1">
        <v>45068</v>
      </c>
      <c r="B567">
        <v>337.64</v>
      </c>
      <c r="C567">
        <v>43015950</v>
      </c>
      <c r="D567">
        <v>336.25</v>
      </c>
      <c r="E567">
        <v>338.67</v>
      </c>
      <c r="F567">
        <v>336.24</v>
      </c>
    </row>
    <row r="568" spans="1:6" x14ac:dyDescent="0.45">
      <c r="A568" s="1">
        <v>45069</v>
      </c>
      <c r="B568">
        <v>333.36</v>
      </c>
      <c r="C568">
        <v>48216660</v>
      </c>
      <c r="D568">
        <v>335.89</v>
      </c>
      <c r="E568">
        <v>337.06</v>
      </c>
      <c r="F568">
        <v>333</v>
      </c>
    </row>
    <row r="569" spans="1:6" x14ac:dyDescent="0.45">
      <c r="A569" s="1">
        <v>45070</v>
      </c>
      <c r="B569">
        <v>331.65</v>
      </c>
      <c r="C569">
        <v>62891170</v>
      </c>
      <c r="D569">
        <v>331.37</v>
      </c>
      <c r="E569">
        <v>332.90499999999997</v>
      </c>
      <c r="F569">
        <v>329.56</v>
      </c>
    </row>
    <row r="570" spans="1:6" x14ac:dyDescent="0.45">
      <c r="A570" s="1">
        <v>45071</v>
      </c>
      <c r="B570">
        <v>339.72</v>
      </c>
      <c r="C570">
        <v>66862770</v>
      </c>
      <c r="D570">
        <v>339.14</v>
      </c>
      <c r="E570">
        <v>341.01</v>
      </c>
      <c r="F570">
        <v>336.66500000000002</v>
      </c>
    </row>
    <row r="571" spans="1:6" x14ac:dyDescent="0.45">
      <c r="A571" s="1">
        <v>45072</v>
      </c>
      <c r="B571">
        <v>348.4</v>
      </c>
      <c r="C571">
        <v>63006950</v>
      </c>
      <c r="D571">
        <v>340.76</v>
      </c>
      <c r="E571">
        <v>349.245</v>
      </c>
      <c r="F571">
        <v>340.66</v>
      </c>
    </row>
    <row r="572" spans="1:6" x14ac:dyDescent="0.45">
      <c r="A572" s="1">
        <v>45076</v>
      </c>
      <c r="B572">
        <v>349.98</v>
      </c>
      <c r="C572">
        <v>72652160</v>
      </c>
      <c r="D572">
        <v>352.71</v>
      </c>
      <c r="E572">
        <v>353.93</v>
      </c>
      <c r="F572">
        <v>348.53</v>
      </c>
    </row>
    <row r="573" spans="1:6" x14ac:dyDescent="0.45">
      <c r="A573" s="1">
        <v>45077</v>
      </c>
      <c r="B573">
        <v>347.99</v>
      </c>
      <c r="C573">
        <v>65105380</v>
      </c>
      <c r="D573">
        <v>348.37</v>
      </c>
      <c r="E573">
        <v>350.6</v>
      </c>
      <c r="F573">
        <v>346.51</v>
      </c>
    </row>
    <row r="574" spans="1:6" x14ac:dyDescent="0.45">
      <c r="A574" s="1">
        <v>45078</v>
      </c>
      <c r="B574">
        <v>352.01</v>
      </c>
      <c r="C574">
        <v>50488600</v>
      </c>
      <c r="D574">
        <v>347.73</v>
      </c>
      <c r="E574">
        <v>353.36</v>
      </c>
      <c r="F574">
        <v>346.66</v>
      </c>
    </row>
    <row r="575" spans="1:6" x14ac:dyDescent="0.45">
      <c r="A575" s="1">
        <v>45079</v>
      </c>
      <c r="B575">
        <v>354.65</v>
      </c>
      <c r="C575">
        <v>53372110</v>
      </c>
      <c r="D575">
        <v>353.8</v>
      </c>
      <c r="E575">
        <v>355.83</v>
      </c>
      <c r="F575">
        <v>352.01</v>
      </c>
    </row>
    <row r="576" spans="1:6" x14ac:dyDescent="0.45">
      <c r="A576" s="1">
        <v>45082</v>
      </c>
      <c r="B576">
        <v>354.9</v>
      </c>
      <c r="C576">
        <v>47266230</v>
      </c>
      <c r="D576">
        <v>354.43</v>
      </c>
      <c r="E576">
        <v>357.495</v>
      </c>
      <c r="F576">
        <v>353.85</v>
      </c>
    </row>
    <row r="577" spans="1:6" x14ac:dyDescent="0.45">
      <c r="A577" s="1">
        <v>45083</v>
      </c>
      <c r="B577">
        <v>354.84</v>
      </c>
      <c r="C577">
        <v>41390400</v>
      </c>
      <c r="D577">
        <v>354.28</v>
      </c>
      <c r="E577">
        <v>355.82</v>
      </c>
      <c r="F577">
        <v>352.93</v>
      </c>
    </row>
    <row r="578" spans="1:6" x14ac:dyDescent="0.45">
      <c r="A578" s="1">
        <v>45084</v>
      </c>
      <c r="B578">
        <v>348.82</v>
      </c>
      <c r="C578">
        <v>69225940</v>
      </c>
      <c r="D578">
        <v>355.13</v>
      </c>
      <c r="E578">
        <v>357.12</v>
      </c>
      <c r="F578">
        <v>348.18</v>
      </c>
    </row>
    <row r="579" spans="1:6" x14ac:dyDescent="0.45">
      <c r="A579" s="1">
        <v>45085</v>
      </c>
      <c r="B579">
        <v>353.15</v>
      </c>
      <c r="C579">
        <v>47153920</v>
      </c>
      <c r="D579">
        <v>349.12</v>
      </c>
      <c r="E579">
        <v>353.62</v>
      </c>
      <c r="F579">
        <v>348.89</v>
      </c>
    </row>
    <row r="580" spans="1:6" x14ac:dyDescent="0.45">
      <c r="A580" s="1">
        <v>45086</v>
      </c>
      <c r="B580">
        <v>354.5</v>
      </c>
      <c r="C580">
        <v>53196930</v>
      </c>
      <c r="D580">
        <v>354.63</v>
      </c>
      <c r="E580">
        <v>357.66</v>
      </c>
      <c r="F580">
        <v>353.03</v>
      </c>
    </row>
    <row r="581" spans="1:6" x14ac:dyDescent="0.45">
      <c r="A581" s="1">
        <v>45089</v>
      </c>
      <c r="B581">
        <v>360.49</v>
      </c>
      <c r="C581">
        <v>44817650</v>
      </c>
      <c r="D581">
        <v>356.19</v>
      </c>
      <c r="E581">
        <v>360.59</v>
      </c>
      <c r="F581">
        <v>355.2</v>
      </c>
    </row>
    <row r="582" spans="1:6" x14ac:dyDescent="0.45">
      <c r="A582" s="1">
        <v>45090</v>
      </c>
      <c r="B582">
        <v>363.26</v>
      </c>
      <c r="C582">
        <v>57097800</v>
      </c>
      <c r="D582">
        <v>363.29</v>
      </c>
      <c r="E582">
        <v>364.11</v>
      </c>
      <c r="F582">
        <v>360.03</v>
      </c>
    </row>
    <row r="583" spans="1:6" x14ac:dyDescent="0.45">
      <c r="A583" s="1">
        <v>45091</v>
      </c>
      <c r="B583">
        <v>365.9</v>
      </c>
      <c r="C583">
        <v>69525640</v>
      </c>
      <c r="D583">
        <v>363.27</v>
      </c>
      <c r="E583">
        <v>366.19</v>
      </c>
      <c r="F583">
        <v>360.42</v>
      </c>
    </row>
    <row r="584" spans="1:6" x14ac:dyDescent="0.45">
      <c r="A584" s="1">
        <v>45092</v>
      </c>
      <c r="B584">
        <v>370.26</v>
      </c>
      <c r="C584">
        <v>71138820</v>
      </c>
      <c r="D584">
        <v>364.61</v>
      </c>
      <c r="E584">
        <v>371.77</v>
      </c>
      <c r="F584">
        <v>363.98</v>
      </c>
    </row>
    <row r="585" spans="1:6" x14ac:dyDescent="0.45">
      <c r="A585" s="1">
        <v>45093</v>
      </c>
      <c r="B585">
        <v>367.93</v>
      </c>
      <c r="C585">
        <v>80931970</v>
      </c>
      <c r="D585">
        <v>372.72</v>
      </c>
      <c r="E585">
        <v>372.85</v>
      </c>
      <c r="F585">
        <v>367.48</v>
      </c>
    </row>
    <row r="586" spans="1:6" x14ac:dyDescent="0.45">
      <c r="A586" s="1">
        <v>45097</v>
      </c>
      <c r="B586">
        <v>366.9</v>
      </c>
      <c r="C586">
        <v>49204720</v>
      </c>
      <c r="D586">
        <v>365.95</v>
      </c>
      <c r="E586">
        <v>368.32</v>
      </c>
      <c r="F586">
        <v>363.88990000000001</v>
      </c>
    </row>
    <row r="587" spans="1:6" x14ac:dyDescent="0.45">
      <c r="A587" s="1">
        <v>45098</v>
      </c>
      <c r="B587">
        <v>361.9</v>
      </c>
      <c r="C587">
        <v>53378260</v>
      </c>
      <c r="D587">
        <v>365.74</v>
      </c>
      <c r="E587">
        <v>366.18</v>
      </c>
      <c r="F587">
        <v>360.96</v>
      </c>
    </row>
    <row r="588" spans="1:6" x14ac:dyDescent="0.45">
      <c r="A588" s="1">
        <v>45099</v>
      </c>
      <c r="B588">
        <v>366.17</v>
      </c>
      <c r="C588">
        <v>47603040</v>
      </c>
      <c r="D588">
        <v>360.63</v>
      </c>
      <c r="E588">
        <v>366.33</v>
      </c>
      <c r="F588">
        <v>360.22</v>
      </c>
    </row>
    <row r="589" spans="1:6" x14ac:dyDescent="0.45">
      <c r="A589" s="1">
        <v>45100</v>
      </c>
      <c r="B589">
        <v>362.54</v>
      </c>
      <c r="C589">
        <v>48922910</v>
      </c>
      <c r="D589">
        <v>362.21</v>
      </c>
      <c r="E589">
        <v>364.88</v>
      </c>
      <c r="F589">
        <v>360.8227</v>
      </c>
    </row>
    <row r="590" spans="1:6" x14ac:dyDescent="0.45">
      <c r="A590" s="1">
        <v>45103</v>
      </c>
      <c r="B590">
        <v>357.68</v>
      </c>
      <c r="C590">
        <v>52685480</v>
      </c>
      <c r="D590">
        <v>362</v>
      </c>
      <c r="E590">
        <v>364.84</v>
      </c>
      <c r="F590">
        <v>357.59</v>
      </c>
    </row>
    <row r="591" spans="1:6" x14ac:dyDescent="0.45">
      <c r="A591" s="1">
        <v>45104</v>
      </c>
      <c r="B591">
        <v>363.83</v>
      </c>
      <c r="C591">
        <v>49428090</v>
      </c>
      <c r="D591">
        <v>359.25</v>
      </c>
      <c r="E591">
        <v>364.57</v>
      </c>
      <c r="F591">
        <v>358.51</v>
      </c>
    </row>
    <row r="592" spans="1:6" x14ac:dyDescent="0.45">
      <c r="A592" s="1">
        <v>45105</v>
      </c>
      <c r="B592">
        <v>364.54</v>
      </c>
      <c r="C592">
        <v>46498030</v>
      </c>
      <c r="D592">
        <v>361.98</v>
      </c>
      <c r="E592">
        <v>366.52</v>
      </c>
      <c r="F592">
        <v>361.90379999999999</v>
      </c>
    </row>
    <row r="593" spans="1:6" x14ac:dyDescent="0.45">
      <c r="A593" s="1">
        <v>45106</v>
      </c>
      <c r="B593">
        <v>363.81</v>
      </c>
      <c r="C593">
        <v>46150970</v>
      </c>
      <c r="D593">
        <v>364.24</v>
      </c>
      <c r="E593">
        <v>364.89</v>
      </c>
      <c r="F593">
        <v>362.14</v>
      </c>
    </row>
    <row r="594" spans="1:6" x14ac:dyDescent="0.45">
      <c r="A594" s="1">
        <v>45107</v>
      </c>
      <c r="B594">
        <v>369.42</v>
      </c>
      <c r="C594">
        <v>58712500</v>
      </c>
      <c r="D594">
        <v>367.55</v>
      </c>
      <c r="E594">
        <v>370.49</v>
      </c>
      <c r="F594">
        <v>367.23</v>
      </c>
    </row>
    <row r="595" spans="1:6" x14ac:dyDescent="0.45">
      <c r="A595" s="1">
        <v>45110</v>
      </c>
      <c r="B595">
        <v>370.29</v>
      </c>
      <c r="C595">
        <v>19379820</v>
      </c>
      <c r="D595">
        <v>370.07</v>
      </c>
      <c r="E595">
        <v>370.93</v>
      </c>
      <c r="F595">
        <v>368.97</v>
      </c>
    </row>
    <row r="596" spans="1:6" x14ac:dyDescent="0.45">
      <c r="A596" s="1">
        <v>45112</v>
      </c>
      <c r="B596">
        <v>370.28</v>
      </c>
      <c r="C596">
        <v>34460880</v>
      </c>
      <c r="D596">
        <v>368.69499999999999</v>
      </c>
      <c r="E596">
        <v>372.01</v>
      </c>
      <c r="F596">
        <v>368.66</v>
      </c>
    </row>
    <row r="597" spans="1:6" x14ac:dyDescent="0.45">
      <c r="A597" s="1">
        <v>45113</v>
      </c>
      <c r="B597">
        <v>367.46</v>
      </c>
      <c r="C597">
        <v>49374730</v>
      </c>
      <c r="D597">
        <v>366.51</v>
      </c>
      <c r="E597">
        <v>367.91</v>
      </c>
      <c r="F597">
        <v>364.52</v>
      </c>
    </row>
    <row r="598" spans="1:6" x14ac:dyDescent="0.45">
      <c r="A598" s="1">
        <v>45114</v>
      </c>
      <c r="B598">
        <v>366.24</v>
      </c>
      <c r="C598">
        <v>47133750</v>
      </c>
      <c r="D598">
        <v>367.23</v>
      </c>
      <c r="E598">
        <v>370.48</v>
      </c>
      <c r="F598">
        <v>366.01</v>
      </c>
    </row>
    <row r="599" spans="1:6" x14ac:dyDescent="0.45">
      <c r="A599" s="1">
        <v>45117</v>
      </c>
      <c r="B599">
        <v>366.36</v>
      </c>
      <c r="C599">
        <v>48498800</v>
      </c>
      <c r="D599">
        <v>365.96</v>
      </c>
      <c r="E599">
        <v>367.05</v>
      </c>
      <c r="F599">
        <v>363.41</v>
      </c>
    </row>
    <row r="600" spans="1:6" x14ac:dyDescent="0.45">
      <c r="A600" s="1">
        <v>45118</v>
      </c>
      <c r="B600">
        <v>368.17</v>
      </c>
      <c r="C600">
        <v>38214150</v>
      </c>
      <c r="D600">
        <v>366.79</v>
      </c>
      <c r="E600">
        <v>368.63200000000001</v>
      </c>
      <c r="F600">
        <v>364.62</v>
      </c>
    </row>
    <row r="601" spans="1:6" x14ac:dyDescent="0.45">
      <c r="A601" s="1">
        <v>45119</v>
      </c>
      <c r="B601">
        <v>372.82</v>
      </c>
      <c r="C601">
        <v>61703700</v>
      </c>
      <c r="D601">
        <v>372.34</v>
      </c>
      <c r="E601">
        <v>374.19</v>
      </c>
      <c r="F601">
        <v>370.3</v>
      </c>
    </row>
    <row r="602" spans="1:6" x14ac:dyDescent="0.45">
      <c r="A602" s="1">
        <v>45120</v>
      </c>
      <c r="B602">
        <v>379.15</v>
      </c>
      <c r="C602">
        <v>46960010</v>
      </c>
      <c r="D602">
        <v>376.05</v>
      </c>
      <c r="E602">
        <v>379.99</v>
      </c>
      <c r="F602">
        <v>375.46</v>
      </c>
    </row>
    <row r="603" spans="1:6" x14ac:dyDescent="0.45">
      <c r="A603" s="1">
        <v>45121</v>
      </c>
      <c r="B603">
        <v>379.07</v>
      </c>
      <c r="C603">
        <v>55148500</v>
      </c>
      <c r="D603">
        <v>379.58499999999998</v>
      </c>
      <c r="E603">
        <v>382.86</v>
      </c>
      <c r="F603">
        <v>378.18</v>
      </c>
    </row>
    <row r="604" spans="1:6" x14ac:dyDescent="0.45">
      <c r="A604" s="1">
        <v>45124</v>
      </c>
      <c r="B604">
        <v>382.61</v>
      </c>
      <c r="C604">
        <v>40868920</v>
      </c>
      <c r="D604">
        <v>379.8</v>
      </c>
      <c r="E604">
        <v>383.5</v>
      </c>
      <c r="F604">
        <v>379.31</v>
      </c>
    </row>
    <row r="605" spans="1:6" x14ac:dyDescent="0.45">
      <c r="A605" s="1">
        <v>45125</v>
      </c>
      <c r="B605">
        <v>385.74</v>
      </c>
      <c r="C605">
        <v>55343440</v>
      </c>
      <c r="D605">
        <v>381.96</v>
      </c>
      <c r="E605">
        <v>387.13</v>
      </c>
      <c r="F605">
        <v>380</v>
      </c>
    </row>
    <row r="606" spans="1:6" x14ac:dyDescent="0.45">
      <c r="A606" s="1">
        <v>45126</v>
      </c>
      <c r="B606">
        <v>385.65</v>
      </c>
      <c r="C606">
        <v>54092960</v>
      </c>
      <c r="D606">
        <v>386.82</v>
      </c>
      <c r="E606">
        <v>387.98</v>
      </c>
      <c r="F606">
        <v>384.3</v>
      </c>
    </row>
    <row r="607" spans="1:6" x14ac:dyDescent="0.45">
      <c r="A607" s="1">
        <v>45127</v>
      </c>
      <c r="B607">
        <v>376.76</v>
      </c>
      <c r="C607">
        <v>71941670</v>
      </c>
      <c r="D607">
        <v>382.61</v>
      </c>
      <c r="E607">
        <v>384.09500000000003</v>
      </c>
      <c r="F607">
        <v>375.72</v>
      </c>
    </row>
    <row r="608" spans="1:6" x14ac:dyDescent="0.45">
      <c r="A608" s="1">
        <v>45128</v>
      </c>
      <c r="B608">
        <v>375.63</v>
      </c>
      <c r="C608">
        <v>60499640</v>
      </c>
      <c r="D608">
        <v>379.18</v>
      </c>
      <c r="E608">
        <v>379.92</v>
      </c>
      <c r="F608">
        <v>375.19099999999997</v>
      </c>
    </row>
    <row r="609" spans="1:6" x14ac:dyDescent="0.45">
      <c r="A609" s="1">
        <v>45131</v>
      </c>
      <c r="B609">
        <v>376.23</v>
      </c>
      <c r="C609">
        <v>40380060</v>
      </c>
      <c r="D609">
        <v>376.62</v>
      </c>
      <c r="E609">
        <v>377.58</v>
      </c>
      <c r="F609">
        <v>374.34</v>
      </c>
    </row>
    <row r="610" spans="1:6" x14ac:dyDescent="0.45">
      <c r="A610" s="1">
        <v>45132</v>
      </c>
      <c r="B610">
        <v>378.78</v>
      </c>
      <c r="C610">
        <v>38894380</v>
      </c>
      <c r="D610">
        <v>376.95</v>
      </c>
      <c r="E610">
        <v>380.47</v>
      </c>
      <c r="F610">
        <v>376.93</v>
      </c>
    </row>
    <row r="611" spans="1:6" x14ac:dyDescent="0.45">
      <c r="A611" s="1">
        <v>45133</v>
      </c>
      <c r="B611">
        <v>377.52</v>
      </c>
      <c r="C611">
        <v>47075710</v>
      </c>
      <c r="D611">
        <v>377.72</v>
      </c>
      <c r="E611">
        <v>379.24</v>
      </c>
      <c r="F611">
        <v>375.18</v>
      </c>
    </row>
    <row r="612" spans="1:6" x14ac:dyDescent="0.45">
      <c r="A612" s="1">
        <v>45134</v>
      </c>
      <c r="B612">
        <v>376.62</v>
      </c>
      <c r="C612">
        <v>63940230</v>
      </c>
      <c r="D612">
        <v>383.07</v>
      </c>
      <c r="E612">
        <v>384.71</v>
      </c>
      <c r="F612">
        <v>375.31</v>
      </c>
    </row>
    <row r="613" spans="1:6" x14ac:dyDescent="0.45">
      <c r="A613" s="1">
        <v>45135</v>
      </c>
      <c r="B613">
        <v>383.48</v>
      </c>
      <c r="C613">
        <v>56902930</v>
      </c>
      <c r="D613">
        <v>380.74</v>
      </c>
      <c r="E613">
        <v>384.52</v>
      </c>
      <c r="F613">
        <v>380.22</v>
      </c>
    </row>
    <row r="614" spans="1:6" x14ac:dyDescent="0.45">
      <c r="A614" s="1">
        <v>45138</v>
      </c>
      <c r="B614">
        <v>383.68</v>
      </c>
      <c r="C614">
        <v>44019910</v>
      </c>
      <c r="D614">
        <v>383.79</v>
      </c>
      <c r="E614">
        <v>384.88</v>
      </c>
      <c r="F614">
        <v>382.34</v>
      </c>
    </row>
    <row r="615" spans="1:6" x14ac:dyDescent="0.45">
      <c r="A615" s="1">
        <v>45139</v>
      </c>
      <c r="B615">
        <v>382.79</v>
      </c>
      <c r="C615">
        <v>41308460</v>
      </c>
      <c r="D615">
        <v>382.31</v>
      </c>
      <c r="E615">
        <v>383.56</v>
      </c>
      <c r="F615">
        <v>380.69</v>
      </c>
    </row>
    <row r="616" spans="1:6" x14ac:dyDescent="0.45">
      <c r="A616" s="1">
        <v>45140</v>
      </c>
      <c r="B616">
        <v>374.39</v>
      </c>
      <c r="C616">
        <v>72687110</v>
      </c>
      <c r="D616">
        <v>379.26</v>
      </c>
      <c r="E616">
        <v>379.26</v>
      </c>
      <c r="F616">
        <v>373.13</v>
      </c>
    </row>
    <row r="617" spans="1:6" x14ac:dyDescent="0.45">
      <c r="A617" s="1">
        <v>45141</v>
      </c>
      <c r="B617">
        <v>373.79</v>
      </c>
      <c r="C617">
        <v>47855380</v>
      </c>
      <c r="D617">
        <v>371.94</v>
      </c>
      <c r="E617">
        <v>375.95</v>
      </c>
      <c r="F617">
        <v>371.77</v>
      </c>
    </row>
    <row r="618" spans="1:6" x14ac:dyDescent="0.45">
      <c r="A618" s="1">
        <v>45142</v>
      </c>
      <c r="B618">
        <v>372.04</v>
      </c>
      <c r="C618">
        <v>61702760</v>
      </c>
      <c r="D618">
        <v>375.75</v>
      </c>
      <c r="E618">
        <v>378.1</v>
      </c>
      <c r="F618">
        <v>371.53</v>
      </c>
    </row>
    <row r="619" spans="1:6" x14ac:dyDescent="0.45">
      <c r="A619" s="1">
        <v>45145</v>
      </c>
      <c r="B619">
        <v>375.19</v>
      </c>
      <c r="C619">
        <v>37230440</v>
      </c>
      <c r="D619">
        <v>373.88</v>
      </c>
      <c r="E619">
        <v>375.29</v>
      </c>
      <c r="F619">
        <v>371.51</v>
      </c>
    </row>
    <row r="620" spans="1:6" x14ac:dyDescent="0.45">
      <c r="A620" s="1">
        <v>45146</v>
      </c>
      <c r="B620">
        <v>372</v>
      </c>
      <c r="C620">
        <v>44726450</v>
      </c>
      <c r="D620">
        <v>372.64</v>
      </c>
      <c r="E620">
        <v>372.66</v>
      </c>
      <c r="F620">
        <v>368.82</v>
      </c>
    </row>
    <row r="621" spans="1:6" x14ac:dyDescent="0.45">
      <c r="A621" s="1">
        <v>45147</v>
      </c>
      <c r="B621">
        <v>367.91</v>
      </c>
      <c r="C621">
        <v>51150900</v>
      </c>
      <c r="D621">
        <v>372.29</v>
      </c>
      <c r="E621">
        <v>372.45</v>
      </c>
      <c r="F621">
        <v>367.14</v>
      </c>
    </row>
    <row r="622" spans="1:6" x14ac:dyDescent="0.45">
      <c r="A622" s="1">
        <v>45148</v>
      </c>
      <c r="B622">
        <v>368.59</v>
      </c>
      <c r="C622">
        <v>72035270</v>
      </c>
      <c r="D622">
        <v>370.97</v>
      </c>
      <c r="E622">
        <v>374.36</v>
      </c>
      <c r="F622">
        <v>367.03500000000003</v>
      </c>
    </row>
    <row r="623" spans="1:6" x14ac:dyDescent="0.45">
      <c r="A623" s="1">
        <v>45149</v>
      </c>
      <c r="B623">
        <v>366.24</v>
      </c>
      <c r="C623">
        <v>48707190</v>
      </c>
      <c r="D623">
        <v>365.99</v>
      </c>
      <c r="E623">
        <v>368</v>
      </c>
      <c r="F623">
        <v>364.69</v>
      </c>
    </row>
    <row r="624" spans="1:6" x14ac:dyDescent="0.45">
      <c r="A624" s="1">
        <v>45152</v>
      </c>
      <c r="B624">
        <v>370.35</v>
      </c>
      <c r="C624">
        <v>42130800</v>
      </c>
      <c r="D624">
        <v>365.43</v>
      </c>
      <c r="E624">
        <v>370.47</v>
      </c>
      <c r="F624">
        <v>364.7</v>
      </c>
    </row>
    <row r="625" spans="1:6" x14ac:dyDescent="0.45">
      <c r="A625" s="1">
        <v>45153</v>
      </c>
      <c r="B625">
        <v>366.42</v>
      </c>
      <c r="C625">
        <v>45539890</v>
      </c>
      <c r="D625">
        <v>369.36</v>
      </c>
      <c r="E625">
        <v>370.16899999999998</v>
      </c>
      <c r="F625">
        <v>365.74</v>
      </c>
    </row>
    <row r="626" spans="1:6" x14ac:dyDescent="0.45">
      <c r="A626" s="1">
        <v>45154</v>
      </c>
      <c r="B626">
        <v>362.54</v>
      </c>
      <c r="C626">
        <v>53190530</v>
      </c>
      <c r="D626">
        <v>365.87</v>
      </c>
      <c r="E626">
        <v>367.43</v>
      </c>
      <c r="F626">
        <v>362.44</v>
      </c>
    </row>
    <row r="627" spans="1:6" x14ac:dyDescent="0.45">
      <c r="A627" s="1">
        <v>45155</v>
      </c>
      <c r="B627">
        <v>358.58</v>
      </c>
      <c r="C627">
        <v>62604340</v>
      </c>
      <c r="D627">
        <v>363.96</v>
      </c>
      <c r="E627">
        <v>364.31</v>
      </c>
      <c r="F627">
        <v>358.16</v>
      </c>
    </row>
    <row r="628" spans="1:6" x14ac:dyDescent="0.45">
      <c r="A628" s="1">
        <v>45156</v>
      </c>
      <c r="B628">
        <v>358.13</v>
      </c>
      <c r="C628">
        <v>61191390</v>
      </c>
      <c r="D628">
        <v>355.26</v>
      </c>
      <c r="E628">
        <v>359.41</v>
      </c>
      <c r="F628">
        <v>354.71</v>
      </c>
    </row>
    <row r="629" spans="1:6" x14ac:dyDescent="0.45">
      <c r="A629" s="1">
        <v>45159</v>
      </c>
      <c r="B629">
        <v>363.9</v>
      </c>
      <c r="C629">
        <v>50696520</v>
      </c>
      <c r="D629">
        <v>359.62</v>
      </c>
      <c r="E629">
        <v>364.59</v>
      </c>
      <c r="F629">
        <v>359.15</v>
      </c>
    </row>
    <row r="630" spans="1:6" x14ac:dyDescent="0.45">
      <c r="A630" s="1">
        <v>45160</v>
      </c>
      <c r="B630">
        <v>363.38</v>
      </c>
      <c r="C630">
        <v>44613510</v>
      </c>
      <c r="D630">
        <v>366.55</v>
      </c>
      <c r="E630">
        <v>366.56</v>
      </c>
      <c r="F630">
        <v>362.68</v>
      </c>
    </row>
    <row r="631" spans="1:6" x14ac:dyDescent="0.45">
      <c r="A631" s="1">
        <v>45161</v>
      </c>
      <c r="B631">
        <v>369.11</v>
      </c>
      <c r="C631">
        <v>51770600</v>
      </c>
      <c r="D631">
        <v>364.58</v>
      </c>
      <c r="E631">
        <v>370.22</v>
      </c>
      <c r="F631">
        <v>364.36</v>
      </c>
    </row>
    <row r="632" spans="1:6" x14ac:dyDescent="0.45">
      <c r="A632" s="1">
        <v>45162</v>
      </c>
      <c r="B632">
        <v>361.22</v>
      </c>
      <c r="C632">
        <v>66842490</v>
      </c>
      <c r="D632">
        <v>372.64</v>
      </c>
      <c r="E632">
        <v>372.74</v>
      </c>
      <c r="F632">
        <v>361.01</v>
      </c>
    </row>
    <row r="633" spans="1:6" x14ac:dyDescent="0.45">
      <c r="A633" s="1">
        <v>45163</v>
      </c>
      <c r="B633">
        <v>364.02</v>
      </c>
      <c r="C633">
        <v>69960470</v>
      </c>
      <c r="D633">
        <v>362.07</v>
      </c>
      <c r="E633">
        <v>365.74</v>
      </c>
      <c r="F633">
        <v>358.58</v>
      </c>
    </row>
    <row r="634" spans="1:6" x14ac:dyDescent="0.45">
      <c r="A634" s="1">
        <v>45166</v>
      </c>
      <c r="B634">
        <v>366.76</v>
      </c>
      <c r="C634">
        <v>40910020</v>
      </c>
      <c r="D634">
        <v>366.99</v>
      </c>
      <c r="E634">
        <v>367.71</v>
      </c>
      <c r="F634">
        <v>364.25</v>
      </c>
    </row>
    <row r="635" spans="1:6" x14ac:dyDescent="0.45">
      <c r="A635" s="1">
        <v>45167</v>
      </c>
      <c r="B635">
        <v>374.77</v>
      </c>
      <c r="C635">
        <v>58492370</v>
      </c>
      <c r="D635">
        <v>366.56</v>
      </c>
      <c r="E635">
        <v>375.13</v>
      </c>
      <c r="F635">
        <v>366.23099999999999</v>
      </c>
    </row>
    <row r="636" spans="1:6" x14ac:dyDescent="0.45">
      <c r="A636" s="1">
        <v>45168</v>
      </c>
      <c r="B636">
        <v>376.86</v>
      </c>
      <c r="C636">
        <v>41731510</v>
      </c>
      <c r="D636">
        <v>374.88</v>
      </c>
      <c r="E636">
        <v>377.44670000000002</v>
      </c>
      <c r="F636">
        <v>373.86</v>
      </c>
    </row>
    <row r="637" spans="1:6" x14ac:dyDescent="0.45">
      <c r="A637" s="1">
        <v>45169</v>
      </c>
      <c r="B637">
        <v>377.99</v>
      </c>
      <c r="C637">
        <v>35730700</v>
      </c>
      <c r="D637">
        <v>376.94</v>
      </c>
      <c r="E637">
        <v>379.71899999999999</v>
      </c>
      <c r="F637">
        <v>376.87</v>
      </c>
    </row>
    <row r="638" spans="1:6" x14ac:dyDescent="0.45">
      <c r="A638" s="1">
        <v>45170</v>
      </c>
      <c r="B638">
        <v>377.59</v>
      </c>
      <c r="C638">
        <v>39801180</v>
      </c>
      <c r="D638">
        <v>380.4</v>
      </c>
      <c r="E638">
        <v>380.83</v>
      </c>
      <c r="F638">
        <v>376.08010000000002</v>
      </c>
    </row>
    <row r="639" spans="1:6" x14ac:dyDescent="0.45">
      <c r="A639" s="1">
        <v>45174</v>
      </c>
      <c r="B639">
        <v>378.07</v>
      </c>
      <c r="C639">
        <v>32344220</v>
      </c>
      <c r="D639">
        <v>376.77</v>
      </c>
      <c r="E639">
        <v>379.30930000000001</v>
      </c>
      <c r="F639">
        <v>375.83</v>
      </c>
    </row>
    <row r="640" spans="1:6" x14ac:dyDescent="0.45">
      <c r="A640" s="1">
        <v>45175</v>
      </c>
      <c r="B640">
        <v>374.74</v>
      </c>
      <c r="C640">
        <v>42998740</v>
      </c>
      <c r="D640">
        <v>377.28</v>
      </c>
      <c r="E640">
        <v>377.63</v>
      </c>
      <c r="F640">
        <v>372.7</v>
      </c>
    </row>
    <row r="641" spans="1:6" x14ac:dyDescent="0.45">
      <c r="A641" s="1">
        <v>45176</v>
      </c>
      <c r="B641">
        <v>372.06</v>
      </c>
      <c r="C641">
        <v>52060720</v>
      </c>
      <c r="D641">
        <v>370.21</v>
      </c>
      <c r="E641">
        <v>372.85</v>
      </c>
      <c r="F641">
        <v>369.15</v>
      </c>
    </row>
    <row r="642" spans="1:6" x14ac:dyDescent="0.45">
      <c r="A642" s="1">
        <v>45177</v>
      </c>
      <c r="B642">
        <v>372.58</v>
      </c>
      <c r="C642">
        <v>35847360</v>
      </c>
      <c r="D642">
        <v>372.01</v>
      </c>
      <c r="E642">
        <v>374.85</v>
      </c>
      <c r="F642">
        <v>371.6</v>
      </c>
    </row>
    <row r="643" spans="1:6" x14ac:dyDescent="0.45">
      <c r="A643" s="1">
        <v>45180</v>
      </c>
      <c r="B643">
        <v>376.97</v>
      </c>
      <c r="C643">
        <v>39936630</v>
      </c>
      <c r="D643">
        <v>375.66</v>
      </c>
      <c r="E643">
        <v>377.49</v>
      </c>
      <c r="F643">
        <v>373.66</v>
      </c>
    </row>
    <row r="644" spans="1:6" x14ac:dyDescent="0.45">
      <c r="A644" s="1">
        <v>45181</v>
      </c>
      <c r="B644">
        <v>372.79</v>
      </c>
      <c r="C644">
        <v>41391020</v>
      </c>
      <c r="D644">
        <v>375.27</v>
      </c>
      <c r="E644">
        <v>376.95170000000002</v>
      </c>
      <c r="F644">
        <v>372.5</v>
      </c>
    </row>
    <row r="645" spans="1:6" x14ac:dyDescent="0.45">
      <c r="A645" s="1">
        <v>45182</v>
      </c>
      <c r="B645">
        <v>374.21</v>
      </c>
      <c r="C645">
        <v>46300680</v>
      </c>
      <c r="D645">
        <v>373.03</v>
      </c>
      <c r="E645">
        <v>375.84</v>
      </c>
      <c r="F645">
        <v>371.88</v>
      </c>
    </row>
    <row r="646" spans="1:6" x14ac:dyDescent="0.45">
      <c r="A646" s="1">
        <v>45183</v>
      </c>
      <c r="B646">
        <v>377.27</v>
      </c>
      <c r="C646">
        <v>48039390</v>
      </c>
      <c r="D646">
        <v>375.99</v>
      </c>
      <c r="E646">
        <v>378.27</v>
      </c>
      <c r="F646">
        <v>373.89</v>
      </c>
    </row>
    <row r="647" spans="1:6" x14ac:dyDescent="0.45">
      <c r="A647" s="1">
        <v>45184</v>
      </c>
      <c r="B647">
        <v>370.81</v>
      </c>
      <c r="C647">
        <v>69811210</v>
      </c>
      <c r="D647">
        <v>375.91</v>
      </c>
      <c r="E647">
        <v>376.32</v>
      </c>
      <c r="F647">
        <v>369.86</v>
      </c>
    </row>
    <row r="648" spans="1:6" x14ac:dyDescent="0.45">
      <c r="A648" s="1">
        <v>45187</v>
      </c>
      <c r="B648">
        <v>370.66</v>
      </c>
      <c r="C648">
        <v>36903550</v>
      </c>
      <c r="D648">
        <v>369.32</v>
      </c>
      <c r="E648">
        <v>371.79</v>
      </c>
      <c r="F648">
        <v>369.03</v>
      </c>
    </row>
    <row r="649" spans="1:6" x14ac:dyDescent="0.45">
      <c r="A649" s="1">
        <v>45188</v>
      </c>
      <c r="B649">
        <v>369.87</v>
      </c>
      <c r="C649">
        <v>37621730</v>
      </c>
      <c r="D649">
        <v>369.32</v>
      </c>
      <c r="E649">
        <v>370.68259999999998</v>
      </c>
      <c r="F649">
        <v>366.8</v>
      </c>
    </row>
    <row r="650" spans="1:6" x14ac:dyDescent="0.45">
      <c r="A650" s="1">
        <v>45189</v>
      </c>
      <c r="B650">
        <v>364.54</v>
      </c>
      <c r="C650">
        <v>45514190</v>
      </c>
      <c r="D650">
        <v>370.95</v>
      </c>
      <c r="E650">
        <v>371.31</v>
      </c>
      <c r="F650">
        <v>364.46</v>
      </c>
    </row>
    <row r="651" spans="1:6" x14ac:dyDescent="0.45">
      <c r="A651" s="1">
        <v>45190</v>
      </c>
      <c r="B651">
        <v>357.86</v>
      </c>
      <c r="C651">
        <v>69734850</v>
      </c>
      <c r="D651">
        <v>360.8</v>
      </c>
      <c r="E651">
        <v>361.6</v>
      </c>
      <c r="F651">
        <v>357.69</v>
      </c>
    </row>
    <row r="652" spans="1:6" x14ac:dyDescent="0.45">
      <c r="A652" s="1">
        <v>45191</v>
      </c>
      <c r="B652">
        <v>357.91</v>
      </c>
      <c r="C652">
        <v>51589690</v>
      </c>
      <c r="D652">
        <v>359.63</v>
      </c>
      <c r="E652">
        <v>361.8</v>
      </c>
      <c r="F652">
        <v>357.59</v>
      </c>
    </row>
    <row r="653" spans="1:6" x14ac:dyDescent="0.45">
      <c r="A653" s="1">
        <v>45194</v>
      </c>
      <c r="B653">
        <v>359.61</v>
      </c>
      <c r="C653">
        <v>39167990</v>
      </c>
      <c r="D653">
        <v>356.93</v>
      </c>
      <c r="E653">
        <v>359.7</v>
      </c>
      <c r="F653">
        <v>355.93</v>
      </c>
    </row>
    <row r="654" spans="1:6" x14ac:dyDescent="0.45">
      <c r="A654" s="1">
        <v>45195</v>
      </c>
      <c r="B654">
        <v>354.21</v>
      </c>
      <c r="C654">
        <v>53657750</v>
      </c>
      <c r="D654">
        <v>356.99</v>
      </c>
      <c r="E654">
        <v>357.54</v>
      </c>
      <c r="F654">
        <v>353.21010000000001</v>
      </c>
    </row>
    <row r="655" spans="1:6" x14ac:dyDescent="0.45">
      <c r="A655" s="1">
        <v>45196</v>
      </c>
      <c r="B655">
        <v>355.04</v>
      </c>
      <c r="C655">
        <v>56065970</v>
      </c>
      <c r="D655">
        <v>355.38</v>
      </c>
      <c r="E655">
        <v>356.98</v>
      </c>
      <c r="F655">
        <v>351.36</v>
      </c>
    </row>
    <row r="656" spans="1:6" x14ac:dyDescent="0.45">
      <c r="A656" s="1">
        <v>45197</v>
      </c>
      <c r="B656">
        <v>358.01</v>
      </c>
      <c r="C656">
        <v>56453310</v>
      </c>
      <c r="D656">
        <v>354.11</v>
      </c>
      <c r="E656">
        <v>360.17</v>
      </c>
      <c r="F656">
        <v>353.24</v>
      </c>
    </row>
    <row r="657" spans="1:6" x14ac:dyDescent="0.45">
      <c r="A657" s="1">
        <v>45198</v>
      </c>
      <c r="B657">
        <v>358.27</v>
      </c>
      <c r="C657">
        <v>64829620</v>
      </c>
      <c r="D657">
        <v>361.54</v>
      </c>
      <c r="E657">
        <v>362.95</v>
      </c>
      <c r="F657">
        <v>357.02</v>
      </c>
    </row>
    <row r="658" spans="1:6" x14ac:dyDescent="0.45">
      <c r="A658" s="1">
        <v>45201</v>
      </c>
      <c r="B658">
        <v>361.26</v>
      </c>
      <c r="C658">
        <v>51625050</v>
      </c>
      <c r="D658">
        <v>358.54</v>
      </c>
      <c r="E658">
        <v>362.68</v>
      </c>
      <c r="F658">
        <v>357.92</v>
      </c>
    </row>
    <row r="659" spans="1:6" x14ac:dyDescent="0.45">
      <c r="A659" s="1">
        <v>45202</v>
      </c>
      <c r="B659">
        <v>354.92</v>
      </c>
      <c r="C659">
        <v>60478490</v>
      </c>
      <c r="D659">
        <v>358.78</v>
      </c>
      <c r="E659">
        <v>361.01</v>
      </c>
      <c r="F659">
        <v>353.27499999999998</v>
      </c>
    </row>
    <row r="660" spans="1:6" x14ac:dyDescent="0.45">
      <c r="A660" s="1">
        <v>45203</v>
      </c>
      <c r="B660">
        <v>359.75</v>
      </c>
      <c r="C660">
        <v>54786690</v>
      </c>
      <c r="D660">
        <v>355.77</v>
      </c>
      <c r="E660">
        <v>360.61</v>
      </c>
      <c r="F660">
        <v>355.3</v>
      </c>
    </row>
    <row r="661" spans="1:6" x14ac:dyDescent="0.45">
      <c r="A661" s="1">
        <v>45204</v>
      </c>
      <c r="B661">
        <v>358.69</v>
      </c>
      <c r="C661">
        <v>45897390</v>
      </c>
      <c r="D661">
        <v>359.74</v>
      </c>
      <c r="E661">
        <v>360.15</v>
      </c>
      <c r="F661">
        <v>355.14</v>
      </c>
    </row>
    <row r="662" spans="1:6" x14ac:dyDescent="0.45">
      <c r="A662" s="1">
        <v>45205</v>
      </c>
      <c r="B662">
        <v>364.7</v>
      </c>
      <c r="C662">
        <v>75049120</v>
      </c>
      <c r="D662">
        <v>355.65</v>
      </c>
      <c r="E662">
        <v>365.91</v>
      </c>
      <c r="F662">
        <v>354.85</v>
      </c>
    </row>
    <row r="663" spans="1:6" x14ac:dyDescent="0.45">
      <c r="A663" s="1">
        <v>45208</v>
      </c>
      <c r="B663">
        <v>366.56</v>
      </c>
      <c r="C663">
        <v>45304770</v>
      </c>
      <c r="D663">
        <v>362.3</v>
      </c>
      <c r="E663">
        <v>367.11</v>
      </c>
      <c r="F663">
        <v>360.78</v>
      </c>
    </row>
    <row r="664" spans="1:6" x14ac:dyDescent="0.45">
      <c r="A664" s="1">
        <v>45209</v>
      </c>
      <c r="B664">
        <v>368.59</v>
      </c>
      <c r="C664">
        <v>46968810</v>
      </c>
      <c r="D664">
        <v>366.9</v>
      </c>
      <c r="E664">
        <v>371.28</v>
      </c>
      <c r="F664">
        <v>366.39</v>
      </c>
    </row>
    <row r="665" spans="1:6" x14ac:dyDescent="0.45">
      <c r="A665" s="1">
        <v>45210</v>
      </c>
      <c r="B665">
        <v>371.22</v>
      </c>
      <c r="C665">
        <v>38215090</v>
      </c>
      <c r="D665">
        <v>369.94</v>
      </c>
      <c r="E665">
        <v>371.41199999999998</v>
      </c>
      <c r="F665">
        <v>368.19</v>
      </c>
    </row>
    <row r="666" spans="1:6" x14ac:dyDescent="0.45">
      <c r="A666" s="1">
        <v>45211</v>
      </c>
      <c r="B666">
        <v>369.93</v>
      </c>
      <c r="C666">
        <v>49587940</v>
      </c>
      <c r="D666">
        <v>371.73</v>
      </c>
      <c r="E666">
        <v>373.74</v>
      </c>
      <c r="F666">
        <v>367.5</v>
      </c>
    </row>
    <row r="667" spans="1:6" x14ac:dyDescent="0.45">
      <c r="A667" s="1">
        <v>45212</v>
      </c>
      <c r="B667">
        <v>365.28</v>
      </c>
      <c r="C667">
        <v>52519880</v>
      </c>
      <c r="D667">
        <v>370.57</v>
      </c>
      <c r="E667">
        <v>371.16</v>
      </c>
      <c r="F667">
        <v>363.86</v>
      </c>
    </row>
    <row r="668" spans="1:6" x14ac:dyDescent="0.45">
      <c r="A668" s="1">
        <v>45215</v>
      </c>
      <c r="B668">
        <v>369.41</v>
      </c>
      <c r="C668">
        <v>44201060</v>
      </c>
      <c r="D668">
        <v>366.62</v>
      </c>
      <c r="E668">
        <v>370.48</v>
      </c>
      <c r="F668">
        <v>366.47</v>
      </c>
    </row>
    <row r="669" spans="1:6" x14ac:dyDescent="0.45">
      <c r="A669" s="1">
        <v>45216</v>
      </c>
      <c r="B669">
        <v>368.2</v>
      </c>
      <c r="C669">
        <v>50999100</v>
      </c>
      <c r="D669">
        <v>365.81</v>
      </c>
      <c r="E669">
        <v>369.92</v>
      </c>
      <c r="F669">
        <v>363.66</v>
      </c>
    </row>
    <row r="670" spans="1:6" x14ac:dyDescent="0.45">
      <c r="A670" s="1">
        <v>45217</v>
      </c>
      <c r="B670">
        <v>363.37</v>
      </c>
      <c r="C670">
        <v>54280490</v>
      </c>
      <c r="D670">
        <v>365.67</v>
      </c>
      <c r="E670">
        <v>367.91</v>
      </c>
      <c r="F670">
        <v>362.02</v>
      </c>
    </row>
    <row r="671" spans="1:6" x14ac:dyDescent="0.45">
      <c r="A671" s="1">
        <v>45218</v>
      </c>
      <c r="B671">
        <v>359.97</v>
      </c>
      <c r="C671">
        <v>72274240</v>
      </c>
      <c r="D671">
        <v>364.81</v>
      </c>
      <c r="E671">
        <v>366.02</v>
      </c>
      <c r="F671">
        <v>359.16</v>
      </c>
    </row>
    <row r="672" spans="1:6" x14ac:dyDescent="0.45">
      <c r="A672" s="1">
        <v>45219</v>
      </c>
      <c r="B672">
        <v>354.6</v>
      </c>
      <c r="C672">
        <v>72559720</v>
      </c>
      <c r="D672">
        <v>359.46</v>
      </c>
      <c r="E672">
        <v>360.04</v>
      </c>
      <c r="F672">
        <v>354.37</v>
      </c>
    </row>
    <row r="673" spans="1:6" x14ac:dyDescent="0.45">
      <c r="A673" s="1">
        <v>45222</v>
      </c>
      <c r="B673">
        <v>355.67</v>
      </c>
      <c r="C673">
        <v>60665190</v>
      </c>
      <c r="D673">
        <v>353.26</v>
      </c>
      <c r="E673">
        <v>359.26</v>
      </c>
      <c r="F673">
        <v>351.11989999999997</v>
      </c>
    </row>
    <row r="674" spans="1:6" x14ac:dyDescent="0.45">
      <c r="A674" s="1">
        <v>45223</v>
      </c>
      <c r="B674">
        <v>359.13</v>
      </c>
      <c r="C674">
        <v>47082080</v>
      </c>
      <c r="D674">
        <v>357.51</v>
      </c>
      <c r="E674">
        <v>359.91</v>
      </c>
      <c r="F674">
        <v>355.79</v>
      </c>
    </row>
    <row r="675" spans="1:6" x14ac:dyDescent="0.45">
      <c r="A675" s="1">
        <v>45224</v>
      </c>
      <c r="B675">
        <v>350.34</v>
      </c>
      <c r="C675">
        <v>71190540</v>
      </c>
      <c r="D675">
        <v>356.7</v>
      </c>
      <c r="E675">
        <v>356.88</v>
      </c>
      <c r="F675">
        <v>349.75</v>
      </c>
    </row>
    <row r="676" spans="1:6" x14ac:dyDescent="0.45">
      <c r="A676" s="1">
        <v>45225</v>
      </c>
      <c r="B676">
        <v>343.66</v>
      </c>
      <c r="C676">
        <v>78621430</v>
      </c>
      <c r="D676">
        <v>349.12</v>
      </c>
      <c r="E676">
        <v>350.07</v>
      </c>
      <c r="F676">
        <v>342.35</v>
      </c>
    </row>
    <row r="677" spans="1:6" x14ac:dyDescent="0.45">
      <c r="A677" s="1">
        <v>45226</v>
      </c>
      <c r="B677">
        <v>345.31</v>
      </c>
      <c r="C677">
        <v>63476710</v>
      </c>
      <c r="D677">
        <v>346.43</v>
      </c>
      <c r="E677">
        <v>348.84</v>
      </c>
      <c r="F677">
        <v>344.08</v>
      </c>
    </row>
    <row r="678" spans="1:6" x14ac:dyDescent="0.45">
      <c r="A678" s="1">
        <v>45229</v>
      </c>
      <c r="B678">
        <v>349.2</v>
      </c>
      <c r="C678">
        <v>55298540</v>
      </c>
      <c r="D678">
        <v>347.83</v>
      </c>
      <c r="E678">
        <v>350.54</v>
      </c>
      <c r="F678">
        <v>346.45</v>
      </c>
    </row>
    <row r="679" spans="1:6" x14ac:dyDescent="0.45">
      <c r="A679" s="1">
        <v>45230</v>
      </c>
      <c r="B679">
        <v>350.87</v>
      </c>
      <c r="C679">
        <v>47671910</v>
      </c>
      <c r="D679">
        <v>349.23</v>
      </c>
      <c r="E679">
        <v>351.25</v>
      </c>
      <c r="F679">
        <v>346.62</v>
      </c>
    </row>
    <row r="680" spans="1:6" x14ac:dyDescent="0.45">
      <c r="A680" s="1">
        <v>45231</v>
      </c>
      <c r="B680">
        <v>356.96</v>
      </c>
      <c r="C680">
        <v>58992670</v>
      </c>
      <c r="D680">
        <v>351.72</v>
      </c>
      <c r="E680">
        <v>357.52980000000002</v>
      </c>
      <c r="F680">
        <v>351.62</v>
      </c>
    </row>
    <row r="681" spans="1:6" x14ac:dyDescent="0.45">
      <c r="A681" s="1">
        <v>45232</v>
      </c>
      <c r="B681">
        <v>363.44</v>
      </c>
      <c r="C681">
        <v>58162440</v>
      </c>
      <c r="D681">
        <v>361.54</v>
      </c>
      <c r="E681">
        <v>363.68</v>
      </c>
      <c r="F681">
        <v>360.3</v>
      </c>
    </row>
    <row r="682" spans="1:6" x14ac:dyDescent="0.45">
      <c r="A682" s="1">
        <v>45233</v>
      </c>
      <c r="B682">
        <v>367.71</v>
      </c>
      <c r="C682">
        <v>53280460</v>
      </c>
      <c r="D682">
        <v>364.75</v>
      </c>
      <c r="E682">
        <v>369.02</v>
      </c>
      <c r="F682">
        <v>364.52</v>
      </c>
    </row>
    <row r="683" spans="1:6" x14ac:dyDescent="0.45">
      <c r="A683" s="1">
        <v>45236</v>
      </c>
      <c r="B683">
        <v>369.21</v>
      </c>
      <c r="C683">
        <v>38848740</v>
      </c>
      <c r="D683">
        <v>368.49</v>
      </c>
      <c r="E683">
        <v>369.78</v>
      </c>
      <c r="F683">
        <v>366.91</v>
      </c>
    </row>
    <row r="684" spans="1:6" x14ac:dyDescent="0.45">
      <c r="A684" s="1">
        <v>45237</v>
      </c>
      <c r="B684">
        <v>372.7</v>
      </c>
      <c r="C684">
        <v>50777400</v>
      </c>
      <c r="D684">
        <v>370.27</v>
      </c>
      <c r="E684">
        <v>373.58</v>
      </c>
      <c r="F684">
        <v>369.04500000000002</v>
      </c>
    </row>
    <row r="685" spans="1:6" x14ac:dyDescent="0.45">
      <c r="A685" s="1">
        <v>45238</v>
      </c>
      <c r="B685">
        <v>372.94</v>
      </c>
      <c r="C685">
        <v>35663370</v>
      </c>
      <c r="D685">
        <v>373.08</v>
      </c>
      <c r="E685">
        <v>373.79</v>
      </c>
      <c r="F685">
        <v>370.62</v>
      </c>
    </row>
    <row r="686" spans="1:6" x14ac:dyDescent="0.45">
      <c r="A686" s="1">
        <v>45239</v>
      </c>
      <c r="B686">
        <v>370.07</v>
      </c>
      <c r="C686">
        <v>53859420</v>
      </c>
      <c r="D686">
        <v>373.64</v>
      </c>
      <c r="E686">
        <v>374.8</v>
      </c>
      <c r="F686">
        <v>369.57</v>
      </c>
    </row>
    <row r="687" spans="1:6" x14ac:dyDescent="0.45">
      <c r="A687" s="1">
        <v>45240</v>
      </c>
      <c r="B687">
        <v>378.39</v>
      </c>
      <c r="C687">
        <v>58368440</v>
      </c>
      <c r="D687">
        <v>371.82</v>
      </c>
      <c r="E687">
        <v>378.54</v>
      </c>
      <c r="F687">
        <v>371.28</v>
      </c>
    </row>
    <row r="688" spans="1:6" x14ac:dyDescent="0.45">
      <c r="A688" s="1">
        <v>45243</v>
      </c>
      <c r="B688">
        <v>377.21</v>
      </c>
      <c r="C688">
        <v>40733510</v>
      </c>
      <c r="D688">
        <v>376.79</v>
      </c>
      <c r="E688">
        <v>378.28</v>
      </c>
      <c r="F688">
        <v>375.24</v>
      </c>
    </row>
    <row r="689" spans="1:6" x14ac:dyDescent="0.45">
      <c r="A689" s="1">
        <v>45244</v>
      </c>
      <c r="B689">
        <v>385.33</v>
      </c>
      <c r="C689">
        <v>67792630</v>
      </c>
      <c r="D689">
        <v>383.71</v>
      </c>
      <c r="E689">
        <v>386.26</v>
      </c>
      <c r="F689">
        <v>383.18</v>
      </c>
    </row>
    <row r="690" spans="1:6" x14ac:dyDescent="0.45">
      <c r="A690" s="1">
        <v>45245</v>
      </c>
      <c r="B690">
        <v>385.62</v>
      </c>
      <c r="C690">
        <v>54141390</v>
      </c>
      <c r="D690">
        <v>387.25</v>
      </c>
      <c r="E690">
        <v>387.75</v>
      </c>
      <c r="F690">
        <v>384.23500000000001</v>
      </c>
    </row>
    <row r="691" spans="1:6" x14ac:dyDescent="0.45">
      <c r="A691" s="1">
        <v>45246</v>
      </c>
      <c r="B691">
        <v>385.95</v>
      </c>
      <c r="C691">
        <v>45343540</v>
      </c>
      <c r="D691">
        <v>384.84</v>
      </c>
      <c r="E691">
        <v>386.19</v>
      </c>
      <c r="F691">
        <v>383.56</v>
      </c>
    </row>
    <row r="692" spans="1:6" x14ac:dyDescent="0.45">
      <c r="A692" s="1">
        <v>45247</v>
      </c>
      <c r="B692">
        <v>386.04</v>
      </c>
      <c r="C692">
        <v>46622750</v>
      </c>
      <c r="D692">
        <v>385.21</v>
      </c>
      <c r="E692">
        <v>387.07</v>
      </c>
      <c r="F692">
        <v>384.29</v>
      </c>
    </row>
    <row r="693" spans="1:6" x14ac:dyDescent="0.45">
      <c r="A693" s="1">
        <v>45250</v>
      </c>
      <c r="B693">
        <v>390.74</v>
      </c>
      <c r="C693">
        <v>44536670</v>
      </c>
      <c r="D693">
        <v>386.05</v>
      </c>
      <c r="E693">
        <v>391.41</v>
      </c>
      <c r="F693">
        <v>386.05</v>
      </c>
    </row>
    <row r="694" spans="1:6" x14ac:dyDescent="0.45">
      <c r="A694" s="1">
        <v>45251</v>
      </c>
      <c r="B694">
        <v>388.47</v>
      </c>
      <c r="C694">
        <v>43336990</v>
      </c>
      <c r="D694">
        <v>389.01</v>
      </c>
      <c r="E694">
        <v>389.23</v>
      </c>
      <c r="F694">
        <v>386.7</v>
      </c>
    </row>
    <row r="695" spans="1:6" x14ac:dyDescent="0.45">
      <c r="A695" s="1">
        <v>45252</v>
      </c>
      <c r="B695">
        <v>390.06</v>
      </c>
      <c r="C695">
        <v>44178570</v>
      </c>
      <c r="D695">
        <v>390.57</v>
      </c>
      <c r="E695">
        <v>393.07</v>
      </c>
      <c r="F695">
        <v>389.04</v>
      </c>
    </row>
    <row r="696" spans="1:6" x14ac:dyDescent="0.45">
      <c r="A696" s="1">
        <v>45254</v>
      </c>
      <c r="B696">
        <v>389.51</v>
      </c>
      <c r="C696">
        <v>15718830</v>
      </c>
      <c r="D696">
        <v>389.65</v>
      </c>
      <c r="E696">
        <v>390.25</v>
      </c>
      <c r="F696">
        <v>388.5</v>
      </c>
    </row>
    <row r="697" spans="1:6" x14ac:dyDescent="0.45">
      <c r="A697" s="1">
        <v>45257</v>
      </c>
      <c r="B697">
        <v>389.17</v>
      </c>
      <c r="C697">
        <v>34139660</v>
      </c>
      <c r="D697">
        <v>389.01</v>
      </c>
      <c r="E697">
        <v>391.1499</v>
      </c>
      <c r="F697">
        <v>388.28</v>
      </c>
    </row>
    <row r="698" spans="1:6" x14ac:dyDescent="0.45">
      <c r="A698" s="1">
        <v>45258</v>
      </c>
      <c r="B698">
        <v>390.19</v>
      </c>
      <c r="C698">
        <v>35491120</v>
      </c>
      <c r="D698">
        <v>388.41</v>
      </c>
      <c r="E698">
        <v>390.78</v>
      </c>
      <c r="F698">
        <v>388.05</v>
      </c>
    </row>
    <row r="699" spans="1:6" x14ac:dyDescent="0.45">
      <c r="A699" s="1">
        <v>45259</v>
      </c>
      <c r="B699">
        <v>389.81</v>
      </c>
      <c r="C699">
        <v>38811750</v>
      </c>
      <c r="D699">
        <v>392.69</v>
      </c>
      <c r="E699">
        <v>394.14</v>
      </c>
      <c r="F699">
        <v>389.46</v>
      </c>
    </row>
    <row r="700" spans="1:6" x14ac:dyDescent="0.45">
      <c r="A700" s="1">
        <v>45260</v>
      </c>
      <c r="B700">
        <v>388.83</v>
      </c>
      <c r="C700">
        <v>52834380</v>
      </c>
      <c r="D700">
        <v>390.08</v>
      </c>
      <c r="E700">
        <v>390.55</v>
      </c>
      <c r="F700">
        <v>385.82</v>
      </c>
    </row>
    <row r="701" spans="1:6" x14ac:dyDescent="0.45">
      <c r="A701" s="1">
        <v>45261</v>
      </c>
      <c r="B701">
        <v>389.94</v>
      </c>
      <c r="C701">
        <v>40490070</v>
      </c>
      <c r="D701">
        <v>387.75</v>
      </c>
      <c r="E701">
        <v>390.54</v>
      </c>
      <c r="F701">
        <v>386.07260000000002</v>
      </c>
    </row>
    <row r="702" spans="1:6" x14ac:dyDescent="0.45">
      <c r="A702" s="1">
        <v>45264</v>
      </c>
      <c r="B702">
        <v>386.32</v>
      </c>
      <c r="C702">
        <v>51186940</v>
      </c>
      <c r="D702">
        <v>386.09</v>
      </c>
      <c r="E702">
        <v>386.59500000000003</v>
      </c>
      <c r="F702">
        <v>382.66</v>
      </c>
    </row>
    <row r="703" spans="1:6" x14ac:dyDescent="0.45">
      <c r="A703" s="1">
        <v>45265</v>
      </c>
      <c r="B703">
        <v>387.29</v>
      </c>
      <c r="C703">
        <v>42932960</v>
      </c>
      <c r="D703">
        <v>384.39</v>
      </c>
      <c r="E703">
        <v>388.5</v>
      </c>
      <c r="F703">
        <v>384.21</v>
      </c>
    </row>
    <row r="704" spans="1:6" x14ac:dyDescent="0.45">
      <c r="A704" s="1">
        <v>45266</v>
      </c>
      <c r="B704">
        <v>385.05</v>
      </c>
      <c r="C704">
        <v>41994070</v>
      </c>
      <c r="D704">
        <v>390.27</v>
      </c>
      <c r="E704">
        <v>390.37</v>
      </c>
      <c r="F704">
        <v>384.7</v>
      </c>
    </row>
    <row r="705" spans="1:6" x14ac:dyDescent="0.45">
      <c r="A705" s="1">
        <v>45267</v>
      </c>
      <c r="B705">
        <v>390.43</v>
      </c>
      <c r="C705">
        <v>49593550</v>
      </c>
      <c r="D705">
        <v>388.07</v>
      </c>
      <c r="E705">
        <v>391.27</v>
      </c>
      <c r="F705">
        <v>386.96</v>
      </c>
    </row>
    <row r="706" spans="1:6" x14ac:dyDescent="0.45">
      <c r="A706" s="1">
        <v>45268</v>
      </c>
      <c r="B706">
        <v>392.17</v>
      </c>
      <c r="C706">
        <v>46687530</v>
      </c>
      <c r="D706">
        <v>388.67</v>
      </c>
      <c r="E706">
        <v>392.62</v>
      </c>
      <c r="F706">
        <v>388.48009999999999</v>
      </c>
    </row>
    <row r="707" spans="1:6" x14ac:dyDescent="0.45">
      <c r="A707" s="1">
        <v>45271</v>
      </c>
      <c r="B707">
        <v>395.52</v>
      </c>
      <c r="C707">
        <v>41198020</v>
      </c>
      <c r="D707">
        <v>391.74</v>
      </c>
      <c r="E707">
        <v>395.79</v>
      </c>
      <c r="F707">
        <v>391.53</v>
      </c>
    </row>
    <row r="708" spans="1:6" x14ac:dyDescent="0.45">
      <c r="A708" s="1">
        <v>45272</v>
      </c>
      <c r="B708">
        <v>398.67</v>
      </c>
      <c r="C708">
        <v>39221150</v>
      </c>
      <c r="D708">
        <v>395.56</v>
      </c>
      <c r="E708">
        <v>398.79</v>
      </c>
      <c r="F708">
        <v>394.41</v>
      </c>
    </row>
    <row r="709" spans="1:6" x14ac:dyDescent="0.45">
      <c r="A709" s="1">
        <v>45273</v>
      </c>
      <c r="B709">
        <v>403.74</v>
      </c>
      <c r="C709">
        <v>55408130</v>
      </c>
      <c r="D709">
        <v>399.62</v>
      </c>
      <c r="E709">
        <v>404.36</v>
      </c>
      <c r="F709">
        <v>398.8399</v>
      </c>
    </row>
    <row r="710" spans="1:6" x14ac:dyDescent="0.45">
      <c r="A710" s="1">
        <v>45274</v>
      </c>
      <c r="B710">
        <v>403.39</v>
      </c>
      <c r="C710">
        <v>55447810</v>
      </c>
      <c r="D710">
        <v>404.98</v>
      </c>
      <c r="E710">
        <v>406.3</v>
      </c>
      <c r="F710">
        <v>400.34</v>
      </c>
    </row>
    <row r="711" spans="1:6" x14ac:dyDescent="0.45">
      <c r="A711" s="1">
        <v>45275</v>
      </c>
      <c r="B711">
        <v>405.34</v>
      </c>
      <c r="C711">
        <v>62896650</v>
      </c>
      <c r="D711">
        <v>404.18</v>
      </c>
      <c r="E711">
        <v>406.53989999999999</v>
      </c>
      <c r="F711">
        <v>403.57</v>
      </c>
    </row>
    <row r="712" spans="1:6" x14ac:dyDescent="0.45">
      <c r="A712" s="1">
        <v>45278</v>
      </c>
      <c r="B712">
        <v>407.08</v>
      </c>
      <c r="C712">
        <v>46609990</v>
      </c>
      <c r="D712">
        <v>404.93</v>
      </c>
      <c r="E712">
        <v>407.99</v>
      </c>
      <c r="F712">
        <v>404.6</v>
      </c>
    </row>
    <row r="713" spans="1:6" x14ac:dyDescent="0.45">
      <c r="A713" s="1">
        <v>45279</v>
      </c>
      <c r="B713">
        <v>409.16</v>
      </c>
      <c r="C713">
        <v>35711860</v>
      </c>
      <c r="D713">
        <v>407.54</v>
      </c>
      <c r="E713">
        <v>409.28</v>
      </c>
      <c r="F713">
        <v>407.34500000000003</v>
      </c>
    </row>
    <row r="714" spans="1:6" x14ac:dyDescent="0.45">
      <c r="A714" s="1">
        <v>45280</v>
      </c>
      <c r="B714">
        <v>403.08</v>
      </c>
      <c r="C714">
        <v>54042440</v>
      </c>
      <c r="D714">
        <v>408.35</v>
      </c>
      <c r="E714">
        <v>410.4699</v>
      </c>
      <c r="F714">
        <v>402.9</v>
      </c>
    </row>
    <row r="715" spans="1:6" x14ac:dyDescent="0.45">
      <c r="A715" s="1">
        <v>45281</v>
      </c>
      <c r="B715">
        <v>407.77</v>
      </c>
      <c r="C715">
        <v>45568910</v>
      </c>
      <c r="D715">
        <v>407.06</v>
      </c>
      <c r="E715">
        <v>408.14</v>
      </c>
      <c r="F715">
        <v>404.47</v>
      </c>
    </row>
    <row r="716" spans="1:6" x14ac:dyDescent="0.45">
      <c r="A716" s="1">
        <v>45282</v>
      </c>
      <c r="B716">
        <v>408.38</v>
      </c>
      <c r="C716">
        <v>34314000</v>
      </c>
      <c r="D716">
        <v>409</v>
      </c>
      <c r="E716">
        <v>409.97</v>
      </c>
      <c r="F716">
        <v>406.4787</v>
      </c>
    </row>
    <row r="717" spans="1:6" x14ac:dyDescent="0.45">
      <c r="A717" s="1">
        <v>45286</v>
      </c>
      <c r="B717">
        <v>410.88</v>
      </c>
      <c r="C717">
        <v>22722550</v>
      </c>
      <c r="D717">
        <v>409.25</v>
      </c>
      <c r="E717">
        <v>411.56</v>
      </c>
      <c r="F717">
        <v>409.15</v>
      </c>
    </row>
    <row r="718" spans="1:6" x14ac:dyDescent="0.45">
      <c r="A718" s="1">
        <v>45287</v>
      </c>
      <c r="B718">
        <v>411.5</v>
      </c>
      <c r="C718">
        <v>31980480</v>
      </c>
      <c r="D718">
        <v>410.95</v>
      </c>
      <c r="E718">
        <v>411.78750000000002</v>
      </c>
      <c r="F718">
        <v>410.08</v>
      </c>
    </row>
    <row r="719" spans="1:6" x14ac:dyDescent="0.45">
      <c r="A719" s="1">
        <v>45288</v>
      </c>
      <c r="B719">
        <v>411.3</v>
      </c>
      <c r="C719">
        <v>27029150</v>
      </c>
      <c r="D719">
        <v>412.67</v>
      </c>
      <c r="E719">
        <v>412.92</v>
      </c>
      <c r="F719">
        <v>410.94</v>
      </c>
    </row>
    <row r="720" spans="1:6" x14ac:dyDescent="0.45">
      <c r="A720" s="1">
        <v>45289</v>
      </c>
      <c r="B720">
        <v>409.52</v>
      </c>
      <c r="C720">
        <v>42662120</v>
      </c>
      <c r="D720">
        <v>411.28</v>
      </c>
      <c r="E720">
        <v>411.64</v>
      </c>
      <c r="F720">
        <v>407.58</v>
      </c>
    </row>
    <row r="721" spans="1:6" x14ac:dyDescent="0.45">
      <c r="A721" s="1">
        <v>45293</v>
      </c>
      <c r="B721">
        <v>402.59</v>
      </c>
      <c r="C721">
        <v>58026950</v>
      </c>
      <c r="D721">
        <v>405.84</v>
      </c>
      <c r="E721">
        <v>406.09</v>
      </c>
      <c r="F721">
        <v>400.24</v>
      </c>
    </row>
    <row r="722" spans="1:6" x14ac:dyDescent="0.45">
      <c r="A722" s="1">
        <v>45294</v>
      </c>
      <c r="B722">
        <v>398.33</v>
      </c>
      <c r="C722">
        <v>47002800</v>
      </c>
      <c r="D722">
        <v>399.93</v>
      </c>
      <c r="E722">
        <v>401</v>
      </c>
      <c r="F722">
        <v>397.89</v>
      </c>
    </row>
    <row r="723" spans="1:6" x14ac:dyDescent="0.45">
      <c r="A723" s="1">
        <v>45295</v>
      </c>
      <c r="B723">
        <v>396.28</v>
      </c>
      <c r="C723">
        <v>39432800</v>
      </c>
      <c r="D723">
        <v>396.44</v>
      </c>
      <c r="E723">
        <v>399.59</v>
      </c>
      <c r="F723">
        <v>396.06</v>
      </c>
    </row>
    <row r="724" spans="1:6" x14ac:dyDescent="0.45">
      <c r="A724" s="1">
        <v>45296</v>
      </c>
      <c r="B724">
        <v>396.75</v>
      </c>
      <c r="C724">
        <v>44922810</v>
      </c>
      <c r="D724">
        <v>396.45</v>
      </c>
      <c r="E724">
        <v>399.56</v>
      </c>
      <c r="F724">
        <v>395.34</v>
      </c>
    </row>
    <row r="725" spans="1:6" x14ac:dyDescent="0.45">
      <c r="A725" s="1">
        <v>45299</v>
      </c>
      <c r="B725">
        <v>404.95</v>
      </c>
      <c r="C725">
        <v>42473800</v>
      </c>
      <c r="D725">
        <v>397.99</v>
      </c>
      <c r="E725">
        <v>405.24</v>
      </c>
      <c r="F725">
        <v>397.8399</v>
      </c>
    </row>
    <row r="726" spans="1:6" x14ac:dyDescent="0.45">
      <c r="A726" s="1">
        <v>45300</v>
      </c>
      <c r="B726">
        <v>405.75</v>
      </c>
      <c r="C726">
        <v>39132860</v>
      </c>
      <c r="D726">
        <v>401.91</v>
      </c>
      <c r="E726">
        <v>406.69</v>
      </c>
      <c r="F726">
        <v>401.71</v>
      </c>
    </row>
    <row r="727" spans="1:6" x14ac:dyDescent="0.45">
      <c r="A727" s="1">
        <v>45301</v>
      </c>
      <c r="B727">
        <v>408.5</v>
      </c>
      <c r="C727">
        <v>33962770</v>
      </c>
      <c r="D727">
        <v>406.07</v>
      </c>
      <c r="E727">
        <v>409.51499999999999</v>
      </c>
      <c r="F727">
        <v>405.17</v>
      </c>
    </row>
    <row r="728" spans="1:6" x14ac:dyDescent="0.45">
      <c r="A728" s="1">
        <v>45302</v>
      </c>
      <c r="B728">
        <v>409.35</v>
      </c>
      <c r="C728">
        <v>54536200</v>
      </c>
      <c r="D728">
        <v>409.79</v>
      </c>
      <c r="E728">
        <v>411.2004</v>
      </c>
      <c r="F728">
        <v>404.24200000000002</v>
      </c>
    </row>
    <row r="729" spans="1:6" x14ac:dyDescent="0.45">
      <c r="A729" s="1">
        <v>45303</v>
      </c>
      <c r="B729">
        <v>409.56</v>
      </c>
      <c r="C729">
        <v>39594950</v>
      </c>
      <c r="D729">
        <v>410.4</v>
      </c>
      <c r="E729">
        <v>411.25</v>
      </c>
      <c r="F729">
        <v>408.15</v>
      </c>
    </row>
    <row r="730" spans="1:6" x14ac:dyDescent="0.45">
      <c r="A730" s="1">
        <v>45307</v>
      </c>
      <c r="B730">
        <v>409.52</v>
      </c>
      <c r="C730">
        <v>43903030</v>
      </c>
      <c r="D730">
        <v>408.31</v>
      </c>
      <c r="E730">
        <v>411.12</v>
      </c>
      <c r="F730">
        <v>406.83</v>
      </c>
    </row>
    <row r="731" spans="1:6" x14ac:dyDescent="0.45">
      <c r="A731" s="1">
        <v>45308</v>
      </c>
      <c r="B731">
        <v>407.21</v>
      </c>
      <c r="C731">
        <v>54385970</v>
      </c>
      <c r="D731">
        <v>406.17</v>
      </c>
      <c r="E731">
        <v>407.58499999999998</v>
      </c>
      <c r="F731">
        <v>402.92</v>
      </c>
    </row>
    <row r="732" spans="1:6" x14ac:dyDescent="0.45">
      <c r="A732" s="1">
        <v>45309</v>
      </c>
      <c r="B732">
        <v>412.99</v>
      </c>
      <c r="C732">
        <v>59562510</v>
      </c>
      <c r="D732">
        <v>410.52</v>
      </c>
      <c r="E732">
        <v>413.57499999999999</v>
      </c>
      <c r="F732">
        <v>409.1601</v>
      </c>
    </row>
    <row r="733" spans="1:6" x14ac:dyDescent="0.45">
      <c r="A733" s="1">
        <v>45310</v>
      </c>
      <c r="B733">
        <v>421.18</v>
      </c>
      <c r="C733">
        <v>70325120</v>
      </c>
      <c r="D733">
        <v>415.22</v>
      </c>
      <c r="E733">
        <v>421.34</v>
      </c>
      <c r="F733">
        <v>414.625</v>
      </c>
    </row>
    <row r="734" spans="1:6" x14ac:dyDescent="0.45">
      <c r="A734" s="1">
        <v>45313</v>
      </c>
      <c r="B734">
        <v>421.73</v>
      </c>
      <c r="C734">
        <v>44880640</v>
      </c>
      <c r="D734">
        <v>423.41</v>
      </c>
      <c r="E734">
        <v>424.72750000000002</v>
      </c>
      <c r="F734">
        <v>421.12</v>
      </c>
    </row>
    <row r="735" spans="1:6" x14ac:dyDescent="0.45">
      <c r="A735" s="1">
        <v>45314</v>
      </c>
      <c r="B735">
        <v>423.48</v>
      </c>
      <c r="C735">
        <v>33003810</v>
      </c>
      <c r="D735">
        <v>422.43</v>
      </c>
      <c r="E735">
        <v>423.7</v>
      </c>
      <c r="F735">
        <v>420.57</v>
      </c>
    </row>
    <row r="736" spans="1:6" x14ac:dyDescent="0.45">
      <c r="A736" s="1">
        <v>45315</v>
      </c>
      <c r="B736">
        <v>425.83</v>
      </c>
      <c r="C736">
        <v>46948020</v>
      </c>
      <c r="D736">
        <v>427.44</v>
      </c>
      <c r="E736">
        <v>429.85</v>
      </c>
      <c r="F736">
        <v>425.33</v>
      </c>
    </row>
    <row r="737" spans="1:6" x14ac:dyDescent="0.45">
      <c r="A737" s="1">
        <v>45316</v>
      </c>
      <c r="B737">
        <v>426.35</v>
      </c>
      <c r="C737">
        <v>44367210</v>
      </c>
      <c r="D737">
        <v>428.36</v>
      </c>
      <c r="E737">
        <v>429.04</v>
      </c>
      <c r="F737">
        <v>423.98</v>
      </c>
    </row>
    <row r="738" spans="1:6" x14ac:dyDescent="0.45">
      <c r="A738" s="1">
        <v>45317</v>
      </c>
      <c r="B738">
        <v>423.81</v>
      </c>
      <c r="C738">
        <v>37137030</v>
      </c>
      <c r="D738">
        <v>424.44</v>
      </c>
      <c r="E738">
        <v>426.21</v>
      </c>
      <c r="F738">
        <v>423.15</v>
      </c>
    </row>
    <row r="739" spans="1:6" x14ac:dyDescent="0.45">
      <c r="A739" s="1">
        <v>45320</v>
      </c>
      <c r="B739">
        <v>428.15</v>
      </c>
      <c r="C739">
        <v>38694720</v>
      </c>
      <c r="D739">
        <v>424.27</v>
      </c>
      <c r="E739">
        <v>428.35</v>
      </c>
      <c r="F739">
        <v>423.61</v>
      </c>
    </row>
    <row r="740" spans="1:6" x14ac:dyDescent="0.45">
      <c r="A740" s="1">
        <v>45321</v>
      </c>
      <c r="B740">
        <v>425.3</v>
      </c>
      <c r="C740">
        <v>36738960</v>
      </c>
      <c r="D740">
        <v>427.1</v>
      </c>
      <c r="E740">
        <v>427.68</v>
      </c>
      <c r="F740">
        <v>424.38</v>
      </c>
    </row>
    <row r="741" spans="1:6" x14ac:dyDescent="0.45">
      <c r="A741" s="1">
        <v>45322</v>
      </c>
      <c r="B741">
        <v>416.97</v>
      </c>
      <c r="C741">
        <v>64010650</v>
      </c>
      <c r="D741">
        <v>420.85</v>
      </c>
      <c r="E741">
        <v>422.86989999999997</v>
      </c>
      <c r="F741">
        <v>416.79</v>
      </c>
    </row>
    <row r="742" spans="1:6" x14ac:dyDescent="0.45">
      <c r="A742" s="1">
        <v>45323</v>
      </c>
      <c r="B742">
        <v>421.88</v>
      </c>
      <c r="C742">
        <v>51008620</v>
      </c>
      <c r="D742">
        <v>418.79</v>
      </c>
      <c r="E742">
        <v>422.375</v>
      </c>
      <c r="F742">
        <v>417.81</v>
      </c>
    </row>
    <row r="743" spans="1:6" x14ac:dyDescent="0.45">
      <c r="A743" s="1">
        <v>45324</v>
      </c>
      <c r="B743">
        <v>429.01</v>
      </c>
      <c r="C743">
        <v>59602440</v>
      </c>
      <c r="D743">
        <v>423.8</v>
      </c>
      <c r="E743">
        <v>430.24</v>
      </c>
      <c r="F743">
        <v>422.79</v>
      </c>
    </row>
    <row r="744" spans="1:6" x14ac:dyDescent="0.45">
      <c r="A744" s="1">
        <v>45327</v>
      </c>
      <c r="B744">
        <v>428.45</v>
      </c>
      <c r="C744">
        <v>39889210</v>
      </c>
      <c r="D744">
        <v>429.07</v>
      </c>
      <c r="E744">
        <v>429.61</v>
      </c>
      <c r="F744">
        <v>425</v>
      </c>
    </row>
    <row r="745" spans="1:6" x14ac:dyDescent="0.45">
      <c r="A745" s="1">
        <v>45328</v>
      </c>
      <c r="B745">
        <v>427.59</v>
      </c>
      <c r="C745">
        <v>35846130</v>
      </c>
      <c r="D745">
        <v>429.61</v>
      </c>
      <c r="E745">
        <v>430.22</v>
      </c>
      <c r="F745">
        <v>425.22</v>
      </c>
    </row>
    <row r="746" spans="1:6" x14ac:dyDescent="0.45">
      <c r="A746" s="1">
        <v>45329</v>
      </c>
      <c r="B746">
        <v>431.99</v>
      </c>
      <c r="C746">
        <v>37712660</v>
      </c>
      <c r="D746">
        <v>430.41</v>
      </c>
      <c r="E746">
        <v>432.83</v>
      </c>
      <c r="F746">
        <v>429.09</v>
      </c>
    </row>
    <row r="747" spans="1:6" x14ac:dyDescent="0.45">
      <c r="A747" s="1">
        <v>45330</v>
      </c>
      <c r="B747">
        <v>432.79</v>
      </c>
      <c r="C747">
        <v>29889890</v>
      </c>
      <c r="D747">
        <v>432.11</v>
      </c>
      <c r="E747">
        <v>433.56</v>
      </c>
      <c r="F747">
        <v>431.42</v>
      </c>
    </row>
    <row r="748" spans="1:6" x14ac:dyDescent="0.45">
      <c r="A748" s="1">
        <v>45331</v>
      </c>
      <c r="B748">
        <v>437.05</v>
      </c>
      <c r="C748">
        <v>36943910</v>
      </c>
      <c r="D748">
        <v>433.94</v>
      </c>
      <c r="E748">
        <v>437.84500000000003</v>
      </c>
      <c r="F748">
        <v>433.14010000000002</v>
      </c>
    </row>
    <row r="749" spans="1:6" x14ac:dyDescent="0.45">
      <c r="A749" s="1">
        <v>45334</v>
      </c>
      <c r="B749">
        <v>435.34</v>
      </c>
      <c r="C749">
        <v>33203310</v>
      </c>
      <c r="D749">
        <v>436.94</v>
      </c>
      <c r="E749">
        <v>439.14</v>
      </c>
      <c r="F749">
        <v>434.65</v>
      </c>
    </row>
    <row r="750" spans="1:6" x14ac:dyDescent="0.45">
      <c r="A750" s="1">
        <v>45335</v>
      </c>
      <c r="B750">
        <v>428.55</v>
      </c>
      <c r="C750">
        <v>64491670</v>
      </c>
      <c r="D750">
        <v>427.28</v>
      </c>
      <c r="E750">
        <v>431.27</v>
      </c>
      <c r="F750">
        <v>425.33049999999997</v>
      </c>
    </row>
    <row r="751" spans="1:6" x14ac:dyDescent="0.45">
      <c r="A751" s="1">
        <v>45336</v>
      </c>
      <c r="B751">
        <v>433.22</v>
      </c>
      <c r="C751">
        <v>45092720</v>
      </c>
      <c r="D751">
        <v>431.26</v>
      </c>
      <c r="E751">
        <v>433.65</v>
      </c>
      <c r="F751">
        <v>428.87990000000002</v>
      </c>
    </row>
    <row r="752" spans="1:6" x14ac:dyDescent="0.45">
      <c r="A752" s="1">
        <v>45337</v>
      </c>
      <c r="B752">
        <v>434.51</v>
      </c>
      <c r="C752">
        <v>38796140</v>
      </c>
      <c r="D752">
        <v>433.92</v>
      </c>
      <c r="E752">
        <v>434.98</v>
      </c>
      <c r="F752">
        <v>431.33</v>
      </c>
    </row>
    <row r="753" spans="1:6" x14ac:dyDescent="0.45">
      <c r="A753" s="1">
        <v>45338</v>
      </c>
      <c r="B753">
        <v>430.57</v>
      </c>
      <c r="C753">
        <v>53716480</v>
      </c>
      <c r="D753">
        <v>434.89</v>
      </c>
      <c r="E753">
        <v>434.99</v>
      </c>
      <c r="F753">
        <v>429.85</v>
      </c>
    </row>
    <row r="754" spans="1:6" x14ac:dyDescent="0.45">
      <c r="A754" s="1">
        <v>45342</v>
      </c>
      <c r="B754">
        <v>427.32</v>
      </c>
      <c r="C754">
        <v>53999450</v>
      </c>
      <c r="D754">
        <v>428.55</v>
      </c>
      <c r="E754">
        <v>430.08</v>
      </c>
      <c r="F754">
        <v>423.5</v>
      </c>
    </row>
    <row r="755" spans="1:6" x14ac:dyDescent="0.45">
      <c r="A755" s="1">
        <v>45343</v>
      </c>
      <c r="B755">
        <v>425.61</v>
      </c>
      <c r="C755">
        <v>50179700</v>
      </c>
      <c r="D755">
        <v>424.55</v>
      </c>
      <c r="E755">
        <v>425.7</v>
      </c>
      <c r="F755">
        <v>421.63</v>
      </c>
    </row>
    <row r="756" spans="1:6" x14ac:dyDescent="0.45">
      <c r="A756" s="1">
        <v>45344</v>
      </c>
      <c r="B756">
        <v>438.07</v>
      </c>
      <c r="C756">
        <v>53887750</v>
      </c>
      <c r="D756">
        <v>434.49</v>
      </c>
      <c r="E756">
        <v>439.12</v>
      </c>
      <c r="F756">
        <v>433.71</v>
      </c>
    </row>
    <row r="757" spans="1:6" x14ac:dyDescent="0.45">
      <c r="A757" s="1">
        <v>45345</v>
      </c>
      <c r="B757">
        <v>436.78</v>
      </c>
      <c r="C757">
        <v>39853860</v>
      </c>
      <c r="D757">
        <v>439.65</v>
      </c>
      <c r="E757">
        <v>440.59</v>
      </c>
      <c r="F757">
        <v>435.79</v>
      </c>
    </row>
    <row r="758" spans="1:6" x14ac:dyDescent="0.45">
      <c r="A758" s="1">
        <v>45348</v>
      </c>
      <c r="B758">
        <v>436.55</v>
      </c>
      <c r="C758">
        <v>33043240</v>
      </c>
      <c r="D758">
        <v>437.6</v>
      </c>
      <c r="E758">
        <v>438.6</v>
      </c>
      <c r="F758">
        <v>436.35500000000002</v>
      </c>
    </row>
    <row r="759" spans="1:6" x14ac:dyDescent="0.45">
      <c r="A759" s="1">
        <v>45349</v>
      </c>
      <c r="B759">
        <v>437.6</v>
      </c>
      <c r="C759">
        <v>33713220</v>
      </c>
      <c r="D759">
        <v>437.67</v>
      </c>
      <c r="E759">
        <v>437.99</v>
      </c>
      <c r="F759">
        <v>435.02499999999998</v>
      </c>
    </row>
    <row r="760" spans="1:6" x14ac:dyDescent="0.45">
      <c r="A760" s="1">
        <v>45350</v>
      </c>
      <c r="B760">
        <v>435.27</v>
      </c>
      <c r="C760">
        <v>32938820</v>
      </c>
      <c r="D760">
        <v>435.43</v>
      </c>
      <c r="E760">
        <v>436.67</v>
      </c>
      <c r="F760">
        <v>434.3</v>
      </c>
    </row>
    <row r="761" spans="1:6" x14ac:dyDescent="0.45">
      <c r="A761" s="1">
        <v>45351</v>
      </c>
      <c r="B761">
        <v>439</v>
      </c>
      <c r="C761">
        <v>42495150</v>
      </c>
      <c r="D761">
        <v>438.23</v>
      </c>
      <c r="E761">
        <v>440.09</v>
      </c>
      <c r="F761">
        <v>435.02</v>
      </c>
    </row>
    <row r="762" spans="1:6" x14ac:dyDescent="0.45">
      <c r="A762" s="1">
        <v>45352</v>
      </c>
      <c r="B762">
        <v>445.61</v>
      </c>
      <c r="C762">
        <v>43853030</v>
      </c>
      <c r="D762">
        <v>439.9</v>
      </c>
      <c r="E762">
        <v>446.58</v>
      </c>
      <c r="F762">
        <v>439.84</v>
      </c>
    </row>
    <row r="763" spans="1:6" x14ac:dyDescent="0.45">
      <c r="A763" s="1">
        <v>45355</v>
      </c>
      <c r="B763">
        <v>444.02</v>
      </c>
      <c r="C763">
        <v>34325690</v>
      </c>
      <c r="D763">
        <v>445.61</v>
      </c>
      <c r="E763">
        <v>446.04</v>
      </c>
      <c r="F763">
        <v>443.77</v>
      </c>
    </row>
    <row r="764" spans="1:6" x14ac:dyDescent="0.45">
      <c r="A764" s="1">
        <v>45356</v>
      </c>
      <c r="B764">
        <v>436.05</v>
      </c>
      <c r="C764">
        <v>57917140</v>
      </c>
      <c r="D764">
        <v>440.94</v>
      </c>
      <c r="E764">
        <v>440.95</v>
      </c>
      <c r="F764">
        <v>433.65</v>
      </c>
    </row>
    <row r="765" spans="1:6" x14ac:dyDescent="0.45">
      <c r="A765" s="1">
        <v>45357</v>
      </c>
      <c r="B765">
        <v>438.79</v>
      </c>
      <c r="C765">
        <v>46234460</v>
      </c>
      <c r="D765">
        <v>440.32</v>
      </c>
      <c r="E765">
        <v>441.99</v>
      </c>
      <c r="F765">
        <v>436.89</v>
      </c>
    </row>
    <row r="766" spans="1:6" x14ac:dyDescent="0.45">
      <c r="A766" s="1">
        <v>45358</v>
      </c>
      <c r="B766">
        <v>445.45</v>
      </c>
      <c r="C766">
        <v>44526670</v>
      </c>
      <c r="D766">
        <v>442.42</v>
      </c>
      <c r="E766">
        <v>446.72</v>
      </c>
      <c r="F766">
        <v>440.86</v>
      </c>
    </row>
    <row r="767" spans="1:6" x14ac:dyDescent="0.45">
      <c r="A767" s="1">
        <v>45359</v>
      </c>
      <c r="B767">
        <v>439.02</v>
      </c>
      <c r="C767">
        <v>72095960</v>
      </c>
      <c r="D767">
        <v>445.81</v>
      </c>
      <c r="E767">
        <v>448.64</v>
      </c>
      <c r="F767">
        <v>438.34</v>
      </c>
    </row>
    <row r="768" spans="1:6" x14ac:dyDescent="0.45">
      <c r="A768" s="1">
        <v>45362</v>
      </c>
      <c r="B768">
        <v>437.39</v>
      </c>
      <c r="C768">
        <v>45859990</v>
      </c>
      <c r="D768">
        <v>437.51</v>
      </c>
      <c r="E768">
        <v>438.66</v>
      </c>
      <c r="F768">
        <v>435.44</v>
      </c>
    </row>
    <row r="769" spans="1:6" x14ac:dyDescent="0.45">
      <c r="A769" s="1">
        <v>45363</v>
      </c>
      <c r="B769">
        <v>443.66</v>
      </c>
      <c r="C769">
        <v>55300910</v>
      </c>
      <c r="D769">
        <v>439.73</v>
      </c>
      <c r="E769">
        <v>444.02</v>
      </c>
      <c r="F769">
        <v>436.46</v>
      </c>
    </row>
    <row r="770" spans="1:6" x14ac:dyDescent="0.45">
      <c r="A770" s="1">
        <v>45364</v>
      </c>
      <c r="B770">
        <v>440.25</v>
      </c>
      <c r="C770">
        <v>37928690</v>
      </c>
      <c r="D770">
        <v>442.65</v>
      </c>
      <c r="E770">
        <v>442.67</v>
      </c>
      <c r="F770">
        <v>439.12</v>
      </c>
    </row>
    <row r="771" spans="1:6" x14ac:dyDescent="0.45">
      <c r="A771" s="1">
        <v>45365</v>
      </c>
      <c r="B771">
        <v>439.14</v>
      </c>
      <c r="C771">
        <v>52195210</v>
      </c>
      <c r="D771">
        <v>441.5</v>
      </c>
      <c r="E771">
        <v>442.03</v>
      </c>
      <c r="F771">
        <v>436.39</v>
      </c>
    </row>
    <row r="772" spans="1:6" x14ac:dyDescent="0.45">
      <c r="A772" s="1">
        <v>45366</v>
      </c>
      <c r="B772">
        <v>433.92</v>
      </c>
      <c r="C772">
        <v>73069820</v>
      </c>
      <c r="D772">
        <v>436.07</v>
      </c>
      <c r="E772">
        <v>438.87329999999997</v>
      </c>
      <c r="F772">
        <v>432.74169999999998</v>
      </c>
    </row>
    <row r="773" spans="1:6" x14ac:dyDescent="0.45">
      <c r="A773" s="1">
        <v>45369</v>
      </c>
      <c r="B773">
        <v>437.48</v>
      </c>
      <c r="C773">
        <v>47323800</v>
      </c>
      <c r="D773">
        <v>438.73</v>
      </c>
      <c r="E773">
        <v>441.04</v>
      </c>
      <c r="F773">
        <v>437.24</v>
      </c>
    </row>
    <row r="774" spans="1:6" x14ac:dyDescent="0.45">
      <c r="A774" s="1">
        <v>45370</v>
      </c>
      <c r="B774">
        <v>438.57</v>
      </c>
      <c r="C774">
        <v>43004110</v>
      </c>
      <c r="D774">
        <v>435.45</v>
      </c>
      <c r="E774">
        <v>438.98</v>
      </c>
      <c r="F774">
        <v>433.33</v>
      </c>
    </row>
    <row r="775" spans="1:6" x14ac:dyDescent="0.45">
      <c r="A775" s="1">
        <v>45371</v>
      </c>
      <c r="B775">
        <v>443.77</v>
      </c>
      <c r="C775">
        <v>43653490</v>
      </c>
      <c r="D775">
        <v>439.78</v>
      </c>
      <c r="E775">
        <v>444.11</v>
      </c>
      <c r="F775">
        <v>438.06</v>
      </c>
    </row>
    <row r="776" spans="1:6" x14ac:dyDescent="0.45">
      <c r="A776" s="1">
        <v>45372</v>
      </c>
      <c r="B776">
        <v>445.87</v>
      </c>
      <c r="C776">
        <v>39345650</v>
      </c>
      <c r="D776">
        <v>448.88</v>
      </c>
      <c r="E776">
        <v>449.34</v>
      </c>
      <c r="F776">
        <v>445.67</v>
      </c>
    </row>
    <row r="777" spans="1:6" x14ac:dyDescent="0.45">
      <c r="A777" s="1">
        <v>45373</v>
      </c>
      <c r="B777">
        <v>446.38</v>
      </c>
      <c r="C777">
        <v>28253900</v>
      </c>
      <c r="D777">
        <v>445.35</v>
      </c>
      <c r="E777">
        <v>447.49</v>
      </c>
      <c r="F777">
        <v>444.49</v>
      </c>
    </row>
    <row r="778" spans="1:6" x14ac:dyDescent="0.45">
      <c r="A778" s="1">
        <v>45376</v>
      </c>
      <c r="B778">
        <v>444.76</v>
      </c>
      <c r="C778">
        <v>27789150</v>
      </c>
      <c r="D778">
        <v>443.55</v>
      </c>
      <c r="E778">
        <v>446.26</v>
      </c>
      <c r="F778">
        <v>442.54</v>
      </c>
    </row>
    <row r="779" spans="1:6" x14ac:dyDescent="0.45">
      <c r="A779" s="1">
        <v>45377</v>
      </c>
      <c r="B779">
        <v>443.32</v>
      </c>
      <c r="C779">
        <v>34142040</v>
      </c>
      <c r="D779">
        <v>446.3</v>
      </c>
      <c r="E779">
        <v>447.22500000000002</v>
      </c>
      <c r="F779">
        <v>443.09</v>
      </c>
    </row>
    <row r="780" spans="1:6" x14ac:dyDescent="0.45">
      <c r="A780" s="1">
        <v>45378</v>
      </c>
      <c r="B780">
        <v>444.83</v>
      </c>
      <c r="C780">
        <v>41359240</v>
      </c>
      <c r="D780">
        <v>446.44</v>
      </c>
      <c r="E780">
        <v>446.54</v>
      </c>
      <c r="F780">
        <v>441.93</v>
      </c>
    </row>
    <row r="781" spans="1:6" x14ac:dyDescent="0.45">
      <c r="A781" s="1">
        <v>45379</v>
      </c>
      <c r="B781">
        <v>444.01</v>
      </c>
      <c r="C781">
        <v>36839640</v>
      </c>
      <c r="D781">
        <v>444.78</v>
      </c>
      <c r="E781">
        <v>445.64</v>
      </c>
      <c r="F781">
        <v>443.65</v>
      </c>
    </row>
    <row r="782" spans="1:6" x14ac:dyDescent="0.45">
      <c r="A782" s="1">
        <v>45383</v>
      </c>
      <c r="B782">
        <v>444.95</v>
      </c>
      <c r="C782">
        <v>38728950</v>
      </c>
      <c r="D782">
        <v>444.97</v>
      </c>
      <c r="E782">
        <v>447.53</v>
      </c>
      <c r="F782">
        <v>443.02</v>
      </c>
    </row>
    <row r="783" spans="1:6" x14ac:dyDescent="0.45">
      <c r="A783" s="1">
        <v>45384</v>
      </c>
      <c r="B783">
        <v>441.11</v>
      </c>
      <c r="C783">
        <v>44259670</v>
      </c>
      <c r="D783">
        <v>440.08</v>
      </c>
      <c r="E783">
        <v>441.43</v>
      </c>
      <c r="F783">
        <v>438.03</v>
      </c>
    </row>
    <row r="784" spans="1:6" x14ac:dyDescent="0.45">
      <c r="A784" s="1">
        <v>45385</v>
      </c>
      <c r="B784">
        <v>442.1</v>
      </c>
      <c r="C784">
        <v>39949750</v>
      </c>
      <c r="D784">
        <v>438.96</v>
      </c>
      <c r="E784">
        <v>444</v>
      </c>
      <c r="F784">
        <v>438.95</v>
      </c>
    </row>
    <row r="785" spans="1:6" x14ac:dyDescent="0.45">
      <c r="A785" s="1">
        <v>45386</v>
      </c>
      <c r="B785">
        <v>435.34</v>
      </c>
      <c r="C785">
        <v>57267660</v>
      </c>
      <c r="D785">
        <v>446.33</v>
      </c>
      <c r="E785">
        <v>446.95</v>
      </c>
      <c r="F785">
        <v>435.11</v>
      </c>
    </row>
    <row r="786" spans="1:6" x14ac:dyDescent="0.45">
      <c r="A786" s="1">
        <v>45387</v>
      </c>
      <c r="B786">
        <v>440.47</v>
      </c>
      <c r="C786">
        <v>54744630</v>
      </c>
      <c r="D786">
        <v>436.78</v>
      </c>
      <c r="E786">
        <v>443.17</v>
      </c>
      <c r="F786">
        <v>435.96</v>
      </c>
    </row>
    <row r="787" spans="1:6" x14ac:dyDescent="0.45">
      <c r="A787" s="1">
        <v>45390</v>
      </c>
      <c r="B787">
        <v>440.6</v>
      </c>
      <c r="C787">
        <v>28144940</v>
      </c>
      <c r="D787">
        <v>441.41</v>
      </c>
      <c r="E787">
        <v>442.5</v>
      </c>
      <c r="F787">
        <v>439.2</v>
      </c>
    </row>
    <row r="788" spans="1:6" x14ac:dyDescent="0.45">
      <c r="A788" s="1">
        <v>45391</v>
      </c>
      <c r="B788">
        <v>442.23</v>
      </c>
      <c r="C788">
        <v>39521570</v>
      </c>
      <c r="D788">
        <v>442.96</v>
      </c>
      <c r="E788">
        <v>443.24</v>
      </c>
      <c r="F788">
        <v>437.44</v>
      </c>
    </row>
    <row r="789" spans="1:6" x14ac:dyDescent="0.45">
      <c r="A789" s="1">
        <v>45392</v>
      </c>
      <c r="B789">
        <v>438.37</v>
      </c>
      <c r="C789">
        <v>61502190</v>
      </c>
      <c r="D789">
        <v>437</v>
      </c>
      <c r="E789">
        <v>439.24</v>
      </c>
      <c r="F789">
        <v>436.28</v>
      </c>
    </row>
    <row r="790" spans="1:6" x14ac:dyDescent="0.45">
      <c r="A790" s="1">
        <v>45393</v>
      </c>
      <c r="B790">
        <v>445.37</v>
      </c>
      <c r="C790">
        <v>45474550</v>
      </c>
      <c r="D790">
        <v>440.26</v>
      </c>
      <c r="E790">
        <v>446.33</v>
      </c>
      <c r="F790">
        <v>437.96</v>
      </c>
    </row>
    <row r="791" spans="1:6" x14ac:dyDescent="0.45">
      <c r="A791" s="1">
        <v>45394</v>
      </c>
      <c r="B791">
        <v>438.27</v>
      </c>
      <c r="C791">
        <v>53665000</v>
      </c>
      <c r="D791">
        <v>441.1</v>
      </c>
      <c r="E791">
        <v>442.24</v>
      </c>
      <c r="F791">
        <v>436.88</v>
      </c>
    </row>
    <row r="792" spans="1:6" x14ac:dyDescent="0.45">
      <c r="A792" s="1">
        <v>45397</v>
      </c>
      <c r="B792">
        <v>431.06</v>
      </c>
      <c r="C792">
        <v>63453620</v>
      </c>
      <c r="D792">
        <v>442.06</v>
      </c>
      <c r="E792">
        <v>442.15</v>
      </c>
      <c r="F792">
        <v>430.21</v>
      </c>
    </row>
    <row r="793" spans="1:6" x14ac:dyDescent="0.45">
      <c r="A793" s="1">
        <v>45398</v>
      </c>
      <c r="B793">
        <v>431.1</v>
      </c>
      <c r="C793">
        <v>47618960</v>
      </c>
      <c r="D793">
        <v>430.9</v>
      </c>
      <c r="E793">
        <v>433.76</v>
      </c>
      <c r="F793">
        <v>429.7</v>
      </c>
    </row>
    <row r="794" spans="1:6" x14ac:dyDescent="0.45">
      <c r="A794" s="1">
        <v>45399</v>
      </c>
      <c r="B794">
        <v>425.84</v>
      </c>
      <c r="C794">
        <v>56880540</v>
      </c>
      <c r="D794">
        <v>433.1</v>
      </c>
      <c r="E794">
        <v>433.12</v>
      </c>
      <c r="F794">
        <v>424.9</v>
      </c>
    </row>
    <row r="795" spans="1:6" x14ac:dyDescent="0.45">
      <c r="A795" s="1">
        <v>45400</v>
      </c>
      <c r="B795">
        <v>423.41</v>
      </c>
      <c r="C795">
        <v>46549360</v>
      </c>
      <c r="D795">
        <v>426.49</v>
      </c>
      <c r="E795">
        <v>428.24</v>
      </c>
      <c r="F795">
        <v>422.83</v>
      </c>
    </row>
    <row r="796" spans="1:6" x14ac:dyDescent="0.45">
      <c r="A796" s="1">
        <v>45401</v>
      </c>
      <c r="B796">
        <v>414.65</v>
      </c>
      <c r="C796">
        <v>75230990</v>
      </c>
      <c r="D796">
        <v>422.22</v>
      </c>
      <c r="E796">
        <v>422.75</v>
      </c>
      <c r="F796">
        <v>413.07</v>
      </c>
    </row>
    <row r="797" spans="1:6" x14ac:dyDescent="0.45">
      <c r="A797" s="1">
        <v>45404</v>
      </c>
      <c r="B797">
        <v>418.82</v>
      </c>
      <c r="C797">
        <v>47807660</v>
      </c>
      <c r="D797">
        <v>417.31</v>
      </c>
      <c r="E797">
        <v>421.18</v>
      </c>
      <c r="F797">
        <v>413.94</v>
      </c>
    </row>
    <row r="798" spans="1:6" x14ac:dyDescent="0.45">
      <c r="A798" s="1">
        <v>45405</v>
      </c>
      <c r="B798">
        <v>425.07</v>
      </c>
      <c r="C798">
        <v>44384740</v>
      </c>
      <c r="D798">
        <v>420.77</v>
      </c>
      <c r="E798">
        <v>426.28</v>
      </c>
      <c r="F798">
        <v>418.87150000000003</v>
      </c>
    </row>
    <row r="799" spans="1:6" x14ac:dyDescent="0.45">
      <c r="A799" s="1">
        <v>45406</v>
      </c>
      <c r="B799">
        <v>426.51</v>
      </c>
      <c r="C799">
        <v>48440310</v>
      </c>
      <c r="D799">
        <v>428.2</v>
      </c>
      <c r="E799">
        <v>429.73</v>
      </c>
      <c r="F799">
        <v>424.2</v>
      </c>
    </row>
    <row r="800" spans="1:6" x14ac:dyDescent="0.45">
      <c r="A800" s="1">
        <v>45407</v>
      </c>
      <c r="B800">
        <v>424.45</v>
      </c>
      <c r="C800">
        <v>57392170</v>
      </c>
      <c r="D800">
        <v>419.24</v>
      </c>
      <c r="E800">
        <v>425.32</v>
      </c>
      <c r="F800">
        <v>418.14</v>
      </c>
    </row>
    <row r="801" spans="1:6" x14ac:dyDescent="0.45">
      <c r="A801" s="1">
        <v>45408</v>
      </c>
      <c r="B801">
        <v>431</v>
      </c>
      <c r="C801">
        <v>41874910</v>
      </c>
      <c r="D801">
        <v>427.62</v>
      </c>
      <c r="E801">
        <v>432.55</v>
      </c>
      <c r="F801">
        <v>426.92</v>
      </c>
    </row>
    <row r="802" spans="1:6" x14ac:dyDescent="0.45">
      <c r="A802" s="1">
        <v>45411</v>
      </c>
      <c r="B802">
        <v>432.75</v>
      </c>
      <c r="C802">
        <v>30022160</v>
      </c>
      <c r="D802">
        <v>433.13</v>
      </c>
      <c r="E802">
        <v>433.76</v>
      </c>
      <c r="F802">
        <v>429.98</v>
      </c>
    </row>
    <row r="803" spans="1:6" x14ac:dyDescent="0.45">
      <c r="A803" s="1">
        <v>45412</v>
      </c>
      <c r="B803">
        <v>424.59</v>
      </c>
      <c r="C803">
        <v>43665930</v>
      </c>
      <c r="D803">
        <v>431.15</v>
      </c>
      <c r="E803">
        <v>432.56</v>
      </c>
      <c r="F803">
        <v>424.51</v>
      </c>
    </row>
    <row r="804" spans="1:6" x14ac:dyDescent="0.45">
      <c r="A804" s="1">
        <v>45413</v>
      </c>
      <c r="B804">
        <v>421.52</v>
      </c>
      <c r="C804">
        <v>52251710</v>
      </c>
      <c r="D804">
        <v>423.15</v>
      </c>
      <c r="E804">
        <v>430.14</v>
      </c>
      <c r="F804">
        <v>420.66</v>
      </c>
    </row>
    <row r="805" spans="1:6" x14ac:dyDescent="0.45">
      <c r="A805" s="1">
        <v>45414</v>
      </c>
      <c r="B805">
        <v>426.9</v>
      </c>
      <c r="C805">
        <v>36559010</v>
      </c>
      <c r="D805">
        <v>425.3</v>
      </c>
      <c r="E805">
        <v>427.81</v>
      </c>
      <c r="F805">
        <v>420.63</v>
      </c>
    </row>
    <row r="806" spans="1:6" x14ac:dyDescent="0.45">
      <c r="A806" s="1">
        <v>45415</v>
      </c>
      <c r="B806">
        <v>435.48</v>
      </c>
      <c r="C806">
        <v>48515250</v>
      </c>
      <c r="D806">
        <v>434.44</v>
      </c>
      <c r="E806">
        <v>436.48</v>
      </c>
      <c r="F806">
        <v>432.62</v>
      </c>
    </row>
    <row r="807" spans="1:6" x14ac:dyDescent="0.45">
      <c r="A807" s="1">
        <v>45418</v>
      </c>
      <c r="B807">
        <v>440.25</v>
      </c>
      <c r="C807">
        <v>30227200</v>
      </c>
      <c r="D807">
        <v>437.3</v>
      </c>
      <c r="E807">
        <v>440.34</v>
      </c>
      <c r="F807">
        <v>436.52</v>
      </c>
    </row>
    <row r="808" spans="1:6" x14ac:dyDescent="0.45">
      <c r="A808" s="1">
        <v>45419</v>
      </c>
      <c r="B808">
        <v>440.32</v>
      </c>
      <c r="C808">
        <v>30996090</v>
      </c>
      <c r="D808">
        <v>440.7</v>
      </c>
      <c r="E808">
        <v>441.97</v>
      </c>
      <c r="F808">
        <v>439.58</v>
      </c>
    </row>
    <row r="809" spans="1:6" x14ac:dyDescent="0.45">
      <c r="A809" s="1">
        <v>45420</v>
      </c>
      <c r="B809">
        <v>440.06</v>
      </c>
      <c r="C809">
        <v>24896720</v>
      </c>
      <c r="D809">
        <v>437.67</v>
      </c>
      <c r="E809">
        <v>441.48</v>
      </c>
      <c r="F809">
        <v>437.55</v>
      </c>
    </row>
    <row r="810" spans="1:6" x14ac:dyDescent="0.45">
      <c r="A810" s="1">
        <v>45421</v>
      </c>
      <c r="B810">
        <v>441.02</v>
      </c>
      <c r="C810">
        <v>24580120</v>
      </c>
      <c r="D810">
        <v>440.33</v>
      </c>
      <c r="E810">
        <v>441.6</v>
      </c>
      <c r="F810">
        <v>438.46</v>
      </c>
    </row>
    <row r="811" spans="1:6" x14ac:dyDescent="0.45">
      <c r="A811" s="1">
        <v>45422</v>
      </c>
      <c r="B811">
        <v>442.06</v>
      </c>
      <c r="C811">
        <v>27116570</v>
      </c>
      <c r="D811">
        <v>442.54</v>
      </c>
      <c r="E811">
        <v>444.31</v>
      </c>
      <c r="F811">
        <v>440.49900000000002</v>
      </c>
    </row>
    <row r="812" spans="1:6" x14ac:dyDescent="0.45">
      <c r="A812" s="1">
        <v>45425</v>
      </c>
      <c r="B812">
        <v>443.08</v>
      </c>
      <c r="C812">
        <v>22994190</v>
      </c>
      <c r="D812">
        <v>443.99</v>
      </c>
      <c r="E812">
        <v>444.09</v>
      </c>
      <c r="F812">
        <v>441.65</v>
      </c>
    </row>
    <row r="813" spans="1:6" x14ac:dyDescent="0.45">
      <c r="A813" s="1">
        <v>45426</v>
      </c>
      <c r="B813">
        <v>445.93</v>
      </c>
      <c r="C813">
        <v>34478320</v>
      </c>
      <c r="D813">
        <v>442.65</v>
      </c>
      <c r="E813">
        <v>446.46499999999997</v>
      </c>
      <c r="F813">
        <v>442.46</v>
      </c>
    </row>
    <row r="814" spans="1:6" x14ac:dyDescent="0.45">
      <c r="A814" s="1">
        <v>45427</v>
      </c>
      <c r="B814">
        <v>452.9</v>
      </c>
      <c r="C814">
        <v>41464650</v>
      </c>
      <c r="D814">
        <v>448.43</v>
      </c>
      <c r="E814">
        <v>453.15</v>
      </c>
      <c r="F814">
        <v>446.9</v>
      </c>
    </row>
    <row r="815" spans="1:6" x14ac:dyDescent="0.45">
      <c r="A815" s="1">
        <v>45428</v>
      </c>
      <c r="B815">
        <v>451.98</v>
      </c>
      <c r="C815">
        <v>34780410</v>
      </c>
      <c r="D815">
        <v>452.71</v>
      </c>
      <c r="E815">
        <v>454.69</v>
      </c>
      <c r="F815">
        <v>451.81</v>
      </c>
    </row>
    <row r="816" spans="1:6" x14ac:dyDescent="0.45">
      <c r="A816" s="1">
        <v>45429</v>
      </c>
      <c r="B816">
        <v>451.76</v>
      </c>
      <c r="C816">
        <v>35803720</v>
      </c>
      <c r="D816">
        <v>452.11</v>
      </c>
      <c r="E816">
        <v>452.72</v>
      </c>
      <c r="F816">
        <v>449.53989999999999</v>
      </c>
    </row>
    <row r="817" spans="1:6" x14ac:dyDescent="0.45">
      <c r="A817" s="1">
        <v>45432</v>
      </c>
      <c r="B817">
        <v>454.91</v>
      </c>
      <c r="C817">
        <v>24474230</v>
      </c>
      <c r="D817">
        <v>451.98</v>
      </c>
      <c r="E817">
        <v>455.58</v>
      </c>
      <c r="F817">
        <v>451.78500000000003</v>
      </c>
    </row>
    <row r="818" spans="1:6" x14ac:dyDescent="0.45">
      <c r="A818" s="1">
        <v>45433</v>
      </c>
      <c r="B818">
        <v>455.8</v>
      </c>
      <c r="C818">
        <v>23167720</v>
      </c>
      <c r="D818">
        <v>453.04</v>
      </c>
      <c r="E818">
        <v>455.99</v>
      </c>
      <c r="F818">
        <v>452.84</v>
      </c>
    </row>
    <row r="819" spans="1:6" x14ac:dyDescent="0.45">
      <c r="A819" s="1">
        <v>45434</v>
      </c>
      <c r="B819">
        <v>455.71</v>
      </c>
      <c r="C819">
        <v>25120040</v>
      </c>
      <c r="D819">
        <v>456.06</v>
      </c>
      <c r="E819">
        <v>456.82</v>
      </c>
      <c r="F819">
        <v>453.08</v>
      </c>
    </row>
    <row r="820" spans="1:6" x14ac:dyDescent="0.45">
      <c r="A820" s="1">
        <v>45435</v>
      </c>
      <c r="B820">
        <v>453.66</v>
      </c>
      <c r="C820">
        <v>40899230</v>
      </c>
      <c r="D820">
        <v>460.55</v>
      </c>
      <c r="E820">
        <v>460.58</v>
      </c>
      <c r="F820">
        <v>451.8503</v>
      </c>
    </row>
    <row r="821" spans="1:6" x14ac:dyDescent="0.45">
      <c r="A821" s="1">
        <v>45436</v>
      </c>
      <c r="B821">
        <v>457.95</v>
      </c>
      <c r="C821">
        <v>29669460</v>
      </c>
      <c r="D821">
        <v>455.29</v>
      </c>
      <c r="E821">
        <v>459.23</v>
      </c>
      <c r="F821">
        <v>453.56740000000002</v>
      </c>
    </row>
    <row r="822" spans="1:6" x14ac:dyDescent="0.45">
      <c r="A822" s="1">
        <v>45440</v>
      </c>
      <c r="B822">
        <v>459.68</v>
      </c>
      <c r="C822">
        <v>26216820</v>
      </c>
      <c r="D822">
        <v>459.18</v>
      </c>
      <c r="E822">
        <v>459.74</v>
      </c>
      <c r="F822">
        <v>456.69</v>
      </c>
    </row>
    <row r="823" spans="1:6" x14ac:dyDescent="0.45">
      <c r="A823" s="1">
        <v>45441</v>
      </c>
      <c r="B823">
        <v>456.44</v>
      </c>
      <c r="C823">
        <v>29739240</v>
      </c>
      <c r="D823">
        <v>455.48</v>
      </c>
      <c r="E823">
        <v>458.24</v>
      </c>
      <c r="F823">
        <v>455.34</v>
      </c>
    </row>
    <row r="824" spans="1:6" x14ac:dyDescent="0.45">
      <c r="A824" s="1">
        <v>45442</v>
      </c>
      <c r="B824">
        <v>451.55</v>
      </c>
      <c r="C824">
        <v>30714120</v>
      </c>
      <c r="D824">
        <v>455.5</v>
      </c>
      <c r="E824">
        <v>455.64</v>
      </c>
      <c r="F824">
        <v>450.21</v>
      </c>
    </row>
    <row r="825" spans="1:6" x14ac:dyDescent="0.45">
      <c r="A825" s="1">
        <v>45443</v>
      </c>
      <c r="B825">
        <v>450.71</v>
      </c>
      <c r="C825">
        <v>55941300</v>
      </c>
      <c r="D825">
        <v>451.78</v>
      </c>
      <c r="E825">
        <v>452.48</v>
      </c>
      <c r="F825">
        <v>443.05500000000001</v>
      </c>
    </row>
    <row r="826" spans="1:6" x14ac:dyDescent="0.45">
      <c r="A826" s="1">
        <v>45446</v>
      </c>
      <c r="B826">
        <v>453.13</v>
      </c>
      <c r="C826">
        <v>32997470</v>
      </c>
      <c r="D826">
        <v>454.57</v>
      </c>
      <c r="E826">
        <v>455.58</v>
      </c>
      <c r="F826">
        <v>447.9</v>
      </c>
    </row>
    <row r="827" spans="1:6" x14ac:dyDescent="0.45">
      <c r="A827" s="1">
        <v>45447</v>
      </c>
      <c r="B827">
        <v>454.37</v>
      </c>
      <c r="C827">
        <v>23767440</v>
      </c>
      <c r="D827">
        <v>452.87</v>
      </c>
      <c r="E827">
        <v>455.57499999999999</v>
      </c>
      <c r="F827">
        <v>451.1311</v>
      </c>
    </row>
    <row r="828" spans="1:6" x14ac:dyDescent="0.45">
      <c r="A828" s="1">
        <v>45448</v>
      </c>
      <c r="B828">
        <v>463.53</v>
      </c>
      <c r="C828">
        <v>33817410</v>
      </c>
      <c r="D828">
        <v>457.98</v>
      </c>
      <c r="E828">
        <v>463.61</v>
      </c>
      <c r="F828">
        <v>454.40800000000002</v>
      </c>
    </row>
    <row r="829" spans="1:6" x14ac:dyDescent="0.45">
      <c r="A829" s="1">
        <v>45449</v>
      </c>
      <c r="B829">
        <v>463.37</v>
      </c>
      <c r="C829">
        <v>21966820</v>
      </c>
      <c r="D829">
        <v>464.22</v>
      </c>
      <c r="E829">
        <v>464.54</v>
      </c>
      <c r="F829">
        <v>462.19</v>
      </c>
    </row>
    <row r="830" spans="1:6" x14ac:dyDescent="0.45">
      <c r="A830" s="1">
        <v>45450</v>
      </c>
      <c r="B830">
        <v>462.96</v>
      </c>
      <c r="C830">
        <v>25829720</v>
      </c>
      <c r="D830">
        <v>463</v>
      </c>
      <c r="E830">
        <v>465.74</v>
      </c>
      <c r="F830">
        <v>461.84</v>
      </c>
    </row>
    <row r="831" spans="1:6" x14ac:dyDescent="0.45">
      <c r="A831" s="1">
        <v>45453</v>
      </c>
      <c r="B831">
        <v>464.83</v>
      </c>
      <c r="C831">
        <v>20719770</v>
      </c>
      <c r="D831">
        <v>461.82</v>
      </c>
      <c r="E831">
        <v>465.19</v>
      </c>
      <c r="F831">
        <v>461.53</v>
      </c>
    </row>
    <row r="832" spans="1:6" x14ac:dyDescent="0.45">
      <c r="A832" s="1">
        <v>45454</v>
      </c>
      <c r="B832">
        <v>468.02</v>
      </c>
      <c r="C832">
        <v>22053280</v>
      </c>
      <c r="D832">
        <v>463.54</v>
      </c>
      <c r="E832">
        <v>468.14</v>
      </c>
      <c r="F832">
        <v>462.03</v>
      </c>
    </row>
    <row r="833" spans="1:6" x14ac:dyDescent="0.45">
      <c r="A833" s="1">
        <v>45455</v>
      </c>
      <c r="B833">
        <v>474.15</v>
      </c>
      <c r="C833">
        <v>34532590</v>
      </c>
      <c r="D833">
        <v>471.99</v>
      </c>
      <c r="E833">
        <v>476.5</v>
      </c>
      <c r="F833">
        <v>471.29</v>
      </c>
    </row>
    <row r="834" spans="1:6" x14ac:dyDescent="0.45">
      <c r="A834" s="1">
        <v>45456</v>
      </c>
      <c r="B834">
        <v>476.72</v>
      </c>
      <c r="C834">
        <v>25859010</v>
      </c>
      <c r="D834">
        <v>477.72</v>
      </c>
      <c r="E834">
        <v>478.39</v>
      </c>
      <c r="F834">
        <v>474.42</v>
      </c>
    </row>
    <row r="835" spans="1:6" x14ac:dyDescent="0.45">
      <c r="A835" s="1">
        <v>45457</v>
      </c>
      <c r="B835">
        <v>479.19</v>
      </c>
      <c r="C835">
        <v>23372620</v>
      </c>
      <c r="D835">
        <v>476.52</v>
      </c>
      <c r="E835">
        <v>479.26</v>
      </c>
      <c r="F835">
        <v>476.05</v>
      </c>
    </row>
    <row r="836" spans="1:6" x14ac:dyDescent="0.45">
      <c r="A836" s="1">
        <v>45460</v>
      </c>
      <c r="B836">
        <v>485.06</v>
      </c>
      <c r="C836">
        <v>37054500</v>
      </c>
      <c r="D836">
        <v>479.46</v>
      </c>
      <c r="E836">
        <v>486.86</v>
      </c>
      <c r="F836">
        <v>478.14</v>
      </c>
    </row>
    <row r="837" spans="1:6" x14ac:dyDescent="0.45">
      <c r="A837" s="1">
        <v>45461</v>
      </c>
      <c r="B837">
        <v>485.21</v>
      </c>
      <c r="C837">
        <v>24438570</v>
      </c>
      <c r="D837">
        <v>485.01</v>
      </c>
      <c r="E837">
        <v>485.9</v>
      </c>
      <c r="F837">
        <v>483.43</v>
      </c>
    </row>
    <row r="838" spans="1:6" x14ac:dyDescent="0.45">
      <c r="A838" s="1">
        <v>45463</v>
      </c>
      <c r="B838">
        <v>481.47</v>
      </c>
      <c r="C838">
        <v>33918680</v>
      </c>
      <c r="D838">
        <v>486.42</v>
      </c>
      <c r="E838">
        <v>486.83870000000002</v>
      </c>
      <c r="F838">
        <v>479.62</v>
      </c>
    </row>
    <row r="839" spans="1:6" x14ac:dyDescent="0.45">
      <c r="A839" s="1">
        <v>45464</v>
      </c>
      <c r="B839">
        <v>480.18</v>
      </c>
      <c r="C839">
        <v>39432910</v>
      </c>
      <c r="D839">
        <v>481.19</v>
      </c>
      <c r="E839">
        <v>482.53500000000003</v>
      </c>
      <c r="F839">
        <v>478.67</v>
      </c>
    </row>
    <row r="840" spans="1:6" x14ac:dyDescent="0.45">
      <c r="A840" s="1">
        <v>45467</v>
      </c>
      <c r="B840">
        <v>473.96</v>
      </c>
      <c r="C840">
        <v>37750970</v>
      </c>
      <c r="D840">
        <v>478.18</v>
      </c>
      <c r="E840">
        <v>479.93</v>
      </c>
      <c r="F840">
        <v>473.82</v>
      </c>
    </row>
    <row r="841" spans="1:6" x14ac:dyDescent="0.45">
      <c r="A841" s="1">
        <v>45468</v>
      </c>
      <c r="B841">
        <v>479.38</v>
      </c>
      <c r="C841">
        <v>29250210</v>
      </c>
      <c r="D841">
        <v>476.07</v>
      </c>
      <c r="E841">
        <v>479.68</v>
      </c>
      <c r="F841">
        <v>475.12</v>
      </c>
    </row>
    <row r="842" spans="1:6" x14ac:dyDescent="0.45">
      <c r="A842" s="1">
        <v>45469</v>
      </c>
      <c r="B842">
        <v>480.37</v>
      </c>
      <c r="C842">
        <v>22737110</v>
      </c>
      <c r="D842">
        <v>478.55</v>
      </c>
      <c r="E842">
        <v>480.92</v>
      </c>
      <c r="F842">
        <v>478.13</v>
      </c>
    </row>
    <row r="843" spans="1:6" x14ac:dyDescent="0.45">
      <c r="A843" s="1">
        <v>45470</v>
      </c>
      <c r="B843">
        <v>481.61</v>
      </c>
      <c r="C843">
        <v>26222140</v>
      </c>
      <c r="D843">
        <v>480.12</v>
      </c>
      <c r="E843">
        <v>483.1</v>
      </c>
      <c r="F843">
        <v>479.3</v>
      </c>
    </row>
    <row r="844" spans="1:6" x14ac:dyDescent="0.45">
      <c r="A844" s="1">
        <v>45471</v>
      </c>
      <c r="B844">
        <v>479.11</v>
      </c>
      <c r="C844">
        <v>34881580</v>
      </c>
      <c r="D844">
        <v>482.41</v>
      </c>
      <c r="E844">
        <v>487.2</v>
      </c>
      <c r="F844">
        <v>478.46</v>
      </c>
    </row>
    <row r="845" spans="1:6" x14ac:dyDescent="0.45">
      <c r="A845" s="1">
        <v>45474</v>
      </c>
      <c r="B845">
        <v>481.92</v>
      </c>
      <c r="C845">
        <v>24898340</v>
      </c>
      <c r="D845">
        <v>480.04</v>
      </c>
      <c r="E845">
        <v>482.49</v>
      </c>
      <c r="F845">
        <v>476.255</v>
      </c>
    </row>
    <row r="846" spans="1:6" x14ac:dyDescent="0.45">
      <c r="A846" s="1">
        <v>45475</v>
      </c>
      <c r="B846">
        <v>486.98</v>
      </c>
      <c r="C846">
        <v>26723560</v>
      </c>
      <c r="D846">
        <v>480.41</v>
      </c>
      <c r="E846">
        <v>487.04</v>
      </c>
      <c r="F846">
        <v>480.28</v>
      </c>
    </row>
    <row r="847" spans="1:6" x14ac:dyDescent="0.45">
      <c r="A847" s="1">
        <v>45476</v>
      </c>
      <c r="B847">
        <v>491.04</v>
      </c>
      <c r="C847">
        <v>18064880</v>
      </c>
      <c r="D847">
        <v>486.22</v>
      </c>
      <c r="E847">
        <v>491.17</v>
      </c>
      <c r="F847">
        <v>486.22</v>
      </c>
    </row>
    <row r="848" spans="1:6" x14ac:dyDescent="0.45">
      <c r="A848" s="1">
        <v>45478</v>
      </c>
      <c r="B848">
        <v>496.16</v>
      </c>
      <c r="C848">
        <v>28495940</v>
      </c>
      <c r="D848">
        <v>491.89</v>
      </c>
      <c r="E848">
        <v>496.6</v>
      </c>
      <c r="F848">
        <v>491.59</v>
      </c>
    </row>
    <row r="849" spans="1:6" x14ac:dyDescent="0.45">
      <c r="A849" s="1">
        <v>45481</v>
      </c>
      <c r="B849">
        <v>497.34</v>
      </c>
      <c r="C849">
        <v>22109420</v>
      </c>
      <c r="D849">
        <v>496.53</v>
      </c>
      <c r="E849">
        <v>497.89499999999998</v>
      </c>
      <c r="F849">
        <v>495.5</v>
      </c>
    </row>
    <row r="850" spans="1:6" x14ac:dyDescent="0.45">
      <c r="A850" s="1">
        <v>45482</v>
      </c>
      <c r="B850">
        <v>497.77</v>
      </c>
      <c r="C850">
        <v>25701250</v>
      </c>
      <c r="D850">
        <v>498.87</v>
      </c>
      <c r="E850">
        <v>500</v>
      </c>
      <c r="F850">
        <v>496.24</v>
      </c>
    </row>
    <row r="851" spans="1:6" x14ac:dyDescent="0.45">
      <c r="A851" s="1">
        <v>45483</v>
      </c>
      <c r="B851">
        <v>502.96</v>
      </c>
      <c r="C851">
        <v>28046900</v>
      </c>
      <c r="D851">
        <v>499.71</v>
      </c>
      <c r="E851">
        <v>503.52</v>
      </c>
      <c r="F851">
        <v>498.39</v>
      </c>
    </row>
    <row r="852" spans="1:6" x14ac:dyDescent="0.45">
      <c r="A852" s="1">
        <v>45484</v>
      </c>
      <c r="B852">
        <v>491.93</v>
      </c>
      <c r="C852">
        <v>49966590</v>
      </c>
      <c r="D852">
        <v>503.07</v>
      </c>
      <c r="E852">
        <v>503.28</v>
      </c>
      <c r="F852">
        <v>490.72500000000002</v>
      </c>
    </row>
    <row r="853" spans="1:6" x14ac:dyDescent="0.45">
      <c r="A853" s="1">
        <v>45485</v>
      </c>
      <c r="B853">
        <v>494.82</v>
      </c>
      <c r="C853">
        <v>37109400</v>
      </c>
      <c r="D853">
        <v>492.51</v>
      </c>
      <c r="E853">
        <v>499.62</v>
      </c>
      <c r="F853">
        <v>492.04</v>
      </c>
    </row>
    <row r="854" spans="1:6" x14ac:dyDescent="0.45">
      <c r="A854" s="1">
        <v>45488</v>
      </c>
      <c r="B854">
        <v>496.15</v>
      </c>
      <c r="C854">
        <v>31151390</v>
      </c>
      <c r="D854">
        <v>496.61</v>
      </c>
      <c r="E854">
        <v>501.01</v>
      </c>
      <c r="F854">
        <v>494.09</v>
      </c>
    </row>
    <row r="855" spans="1:6" x14ac:dyDescent="0.45">
      <c r="A855" s="1">
        <v>45489</v>
      </c>
      <c r="B855">
        <v>496.34</v>
      </c>
      <c r="C855">
        <v>25950620</v>
      </c>
      <c r="D855">
        <v>497.62</v>
      </c>
      <c r="E855">
        <v>498.44</v>
      </c>
      <c r="F855">
        <v>493.15</v>
      </c>
    </row>
    <row r="856" spans="1:6" x14ac:dyDescent="0.45">
      <c r="A856" s="1">
        <v>45490</v>
      </c>
      <c r="B856">
        <v>481.77</v>
      </c>
      <c r="C856">
        <v>56268770</v>
      </c>
      <c r="D856">
        <v>488.28</v>
      </c>
      <c r="E856">
        <v>488.79840000000002</v>
      </c>
      <c r="F856">
        <v>481.7</v>
      </c>
    </row>
    <row r="857" spans="1:6" x14ac:dyDescent="0.45">
      <c r="A857" s="1">
        <v>45491</v>
      </c>
      <c r="B857">
        <v>479.49</v>
      </c>
      <c r="C857">
        <v>49347360</v>
      </c>
      <c r="D857">
        <v>485.53</v>
      </c>
      <c r="E857">
        <v>485.71</v>
      </c>
      <c r="F857">
        <v>476.27</v>
      </c>
    </row>
    <row r="858" spans="1:6" x14ac:dyDescent="0.45">
      <c r="A858" s="1">
        <v>45492</v>
      </c>
      <c r="B858">
        <v>475.24</v>
      </c>
      <c r="C858">
        <v>42042860</v>
      </c>
      <c r="D858">
        <v>479.15</v>
      </c>
      <c r="E858">
        <v>481.69</v>
      </c>
      <c r="F858">
        <v>473.94</v>
      </c>
    </row>
    <row r="859" spans="1:6" x14ac:dyDescent="0.45">
      <c r="A859" s="1">
        <v>45495</v>
      </c>
      <c r="B859">
        <v>482.32</v>
      </c>
      <c r="C859">
        <v>40300000</v>
      </c>
      <c r="D859">
        <v>481.16</v>
      </c>
      <c r="E859">
        <v>483.35</v>
      </c>
      <c r="F859">
        <v>477.70679999999999</v>
      </c>
    </row>
    <row r="860" spans="1:6" x14ac:dyDescent="0.45">
      <c r="A860" s="1">
        <v>45496</v>
      </c>
      <c r="B860">
        <v>480.62</v>
      </c>
      <c r="C860">
        <v>23282450</v>
      </c>
      <c r="D860">
        <v>481.41</v>
      </c>
      <c r="E860">
        <v>484.43</v>
      </c>
      <c r="F860">
        <v>480.14</v>
      </c>
    </row>
    <row r="861" spans="1:6" x14ac:dyDescent="0.45">
      <c r="A861" s="1">
        <v>45497</v>
      </c>
      <c r="B861">
        <v>463.38</v>
      </c>
      <c r="C861">
        <v>58818630</v>
      </c>
      <c r="D861">
        <v>473.82</v>
      </c>
      <c r="E861">
        <v>474.19</v>
      </c>
      <c r="F861">
        <v>462.51</v>
      </c>
    </row>
    <row r="862" spans="1:6" x14ac:dyDescent="0.45">
      <c r="A862" s="1">
        <v>45498</v>
      </c>
      <c r="B862">
        <v>458.27</v>
      </c>
      <c r="C862">
        <v>59256760</v>
      </c>
      <c r="D862">
        <v>463.72</v>
      </c>
      <c r="E862">
        <v>467.94</v>
      </c>
      <c r="F862">
        <v>455.63</v>
      </c>
    </row>
    <row r="863" spans="1:6" x14ac:dyDescent="0.45">
      <c r="A863" s="1">
        <v>45499</v>
      </c>
      <c r="B863">
        <v>462.97</v>
      </c>
      <c r="C863">
        <v>39992130</v>
      </c>
      <c r="D863">
        <v>462.65</v>
      </c>
      <c r="E863">
        <v>465.93</v>
      </c>
      <c r="F863">
        <v>459.77</v>
      </c>
    </row>
    <row r="864" spans="1:6" x14ac:dyDescent="0.45">
      <c r="A864" s="1">
        <v>45502</v>
      </c>
      <c r="B864">
        <v>463.9</v>
      </c>
      <c r="C864">
        <v>28218480</v>
      </c>
      <c r="D864">
        <v>465.71</v>
      </c>
      <c r="E864">
        <v>467.91</v>
      </c>
      <c r="F864">
        <v>461.61500000000001</v>
      </c>
    </row>
    <row r="865" spans="1:6" x14ac:dyDescent="0.45">
      <c r="A865" s="1">
        <v>45503</v>
      </c>
      <c r="B865">
        <v>457.53</v>
      </c>
      <c r="C865">
        <v>41317210</v>
      </c>
      <c r="D865">
        <v>465.85</v>
      </c>
      <c r="E865">
        <v>466.56099999999998</v>
      </c>
      <c r="F865">
        <v>454.15</v>
      </c>
    </row>
    <row r="866" spans="1:6" x14ac:dyDescent="0.45">
      <c r="A866" s="1">
        <v>45504</v>
      </c>
      <c r="B866">
        <v>471.07</v>
      </c>
      <c r="C866">
        <v>44552130</v>
      </c>
      <c r="D866">
        <v>467.87</v>
      </c>
      <c r="E866">
        <v>472.79</v>
      </c>
      <c r="F866">
        <v>466.41</v>
      </c>
    </row>
    <row r="867" spans="1:6" x14ac:dyDescent="0.45">
      <c r="A867" s="1">
        <v>45505</v>
      </c>
      <c r="B867">
        <v>459.66</v>
      </c>
      <c r="C867">
        <v>56653900</v>
      </c>
      <c r="D867">
        <v>471.76</v>
      </c>
      <c r="E867">
        <v>475.55</v>
      </c>
      <c r="F867">
        <v>455.98</v>
      </c>
    </row>
    <row r="868" spans="1:6" x14ac:dyDescent="0.45">
      <c r="A868" s="1">
        <v>45506</v>
      </c>
      <c r="B868">
        <v>448.75</v>
      </c>
      <c r="C868">
        <v>66323240</v>
      </c>
      <c r="D868">
        <v>450.89</v>
      </c>
      <c r="E868">
        <v>453.57</v>
      </c>
      <c r="F868">
        <v>444.47</v>
      </c>
    </row>
    <row r="869" spans="1:6" x14ac:dyDescent="0.45">
      <c r="A869" s="1">
        <v>45509</v>
      </c>
      <c r="B869">
        <v>435.37</v>
      </c>
      <c r="C869">
        <v>87483450</v>
      </c>
      <c r="D869">
        <v>424.71</v>
      </c>
      <c r="E869">
        <v>442.29</v>
      </c>
      <c r="F869">
        <v>423.45</v>
      </c>
    </row>
    <row r="870" spans="1:6" x14ac:dyDescent="0.45">
      <c r="A870" s="1">
        <v>45510</v>
      </c>
      <c r="B870">
        <v>439.53</v>
      </c>
      <c r="C870">
        <v>63164430</v>
      </c>
      <c r="D870">
        <v>437.23</v>
      </c>
      <c r="E870">
        <v>447.07</v>
      </c>
      <c r="F870">
        <v>434.56</v>
      </c>
    </row>
    <row r="871" spans="1:6" x14ac:dyDescent="0.45">
      <c r="A871" s="1">
        <v>45511</v>
      </c>
      <c r="B871">
        <v>434.77</v>
      </c>
      <c r="C871">
        <v>54929160</v>
      </c>
      <c r="D871">
        <v>446.49</v>
      </c>
      <c r="E871">
        <v>449</v>
      </c>
      <c r="F871">
        <v>434.37</v>
      </c>
    </row>
    <row r="872" spans="1:6" x14ac:dyDescent="0.45">
      <c r="A872" s="1">
        <v>45512</v>
      </c>
      <c r="B872">
        <v>448.07</v>
      </c>
      <c r="C872">
        <v>47890070</v>
      </c>
      <c r="D872">
        <v>441.06</v>
      </c>
      <c r="E872">
        <v>448.99</v>
      </c>
      <c r="F872">
        <v>437.15</v>
      </c>
    </row>
    <row r="873" spans="1:6" x14ac:dyDescent="0.45">
      <c r="A873" s="1">
        <v>45513</v>
      </c>
      <c r="B873">
        <v>450.41</v>
      </c>
      <c r="C873">
        <v>33573980</v>
      </c>
      <c r="D873">
        <v>446.74</v>
      </c>
      <c r="E873">
        <v>452.06</v>
      </c>
      <c r="F873">
        <v>445.61</v>
      </c>
    </row>
    <row r="874" spans="1:6" x14ac:dyDescent="0.45">
      <c r="A874" s="1">
        <v>45516</v>
      </c>
      <c r="B874">
        <v>451.38</v>
      </c>
      <c r="C874">
        <v>27795010</v>
      </c>
      <c r="D874">
        <v>451.39</v>
      </c>
      <c r="E874">
        <v>454.37</v>
      </c>
      <c r="F874">
        <v>448.55459999999999</v>
      </c>
    </row>
    <row r="875" spans="1:6" x14ac:dyDescent="0.45">
      <c r="A875" s="1">
        <v>45517</v>
      </c>
      <c r="B875">
        <v>462.58</v>
      </c>
      <c r="C875">
        <v>40084460</v>
      </c>
      <c r="D875">
        <v>455.82</v>
      </c>
      <c r="E875">
        <v>462.85</v>
      </c>
      <c r="F875">
        <v>455.68</v>
      </c>
    </row>
    <row r="876" spans="1:6" x14ac:dyDescent="0.45">
      <c r="A876" s="1">
        <v>45518</v>
      </c>
      <c r="B876">
        <v>462.73</v>
      </c>
      <c r="C876">
        <v>34733750</v>
      </c>
      <c r="D876">
        <v>463.51</v>
      </c>
      <c r="E876">
        <v>465.10930000000002</v>
      </c>
      <c r="F876">
        <v>458.4</v>
      </c>
    </row>
    <row r="877" spans="1:6" x14ac:dyDescent="0.45">
      <c r="A877" s="1">
        <v>45519</v>
      </c>
      <c r="B877">
        <v>474.42</v>
      </c>
      <c r="C877">
        <v>38280570</v>
      </c>
      <c r="D877">
        <v>468.76</v>
      </c>
      <c r="E877">
        <v>474.82</v>
      </c>
      <c r="F877">
        <v>468.38</v>
      </c>
    </row>
    <row r="878" spans="1:6" x14ac:dyDescent="0.45">
      <c r="A878" s="1">
        <v>45520</v>
      </c>
      <c r="B878">
        <v>475.03</v>
      </c>
      <c r="C878">
        <v>38383620</v>
      </c>
      <c r="D878">
        <v>472.62</v>
      </c>
      <c r="E878">
        <v>476.41</v>
      </c>
      <c r="F878">
        <v>471.65</v>
      </c>
    </row>
    <row r="879" spans="1:6" x14ac:dyDescent="0.45">
      <c r="A879" s="1">
        <v>45523</v>
      </c>
      <c r="B879">
        <v>481.27</v>
      </c>
      <c r="C879">
        <v>23737670</v>
      </c>
      <c r="D879">
        <v>475.17</v>
      </c>
      <c r="E879">
        <v>481.31</v>
      </c>
      <c r="F879">
        <v>473.37</v>
      </c>
    </row>
    <row r="880" spans="1:6" x14ac:dyDescent="0.45">
      <c r="A880" s="1">
        <v>45524</v>
      </c>
      <c r="B880">
        <v>480.26</v>
      </c>
      <c r="C880">
        <v>29209340</v>
      </c>
      <c r="D880">
        <v>480.35</v>
      </c>
      <c r="E880">
        <v>482.94</v>
      </c>
      <c r="F880">
        <v>478.55</v>
      </c>
    </row>
    <row r="881" spans="1:6" x14ac:dyDescent="0.45">
      <c r="A881" s="1">
        <v>45525</v>
      </c>
      <c r="B881">
        <v>482.5</v>
      </c>
      <c r="C881">
        <v>25658790</v>
      </c>
      <c r="D881">
        <v>481.05</v>
      </c>
      <c r="E881">
        <v>484.37</v>
      </c>
      <c r="F881">
        <v>479.32</v>
      </c>
    </row>
    <row r="882" spans="1:6" x14ac:dyDescent="0.45">
      <c r="A882" s="1">
        <v>45526</v>
      </c>
      <c r="B882">
        <v>474.85</v>
      </c>
      <c r="C882">
        <v>37739580</v>
      </c>
      <c r="D882">
        <v>484.84</v>
      </c>
      <c r="E882">
        <v>485.54</v>
      </c>
      <c r="F882">
        <v>473.81</v>
      </c>
    </row>
    <row r="883" spans="1:6" x14ac:dyDescent="0.45">
      <c r="A883" s="1">
        <v>45527</v>
      </c>
      <c r="B883">
        <v>480</v>
      </c>
      <c r="C883">
        <v>36061510</v>
      </c>
      <c r="D883">
        <v>479.24</v>
      </c>
      <c r="E883">
        <v>482.74</v>
      </c>
      <c r="F883">
        <v>475.28</v>
      </c>
    </row>
    <row r="884" spans="1:6" x14ac:dyDescent="0.45">
      <c r="A884" s="1">
        <v>45530</v>
      </c>
      <c r="B884">
        <v>475.34</v>
      </c>
      <c r="C884">
        <v>27452640</v>
      </c>
      <c r="D884">
        <v>479.45</v>
      </c>
      <c r="E884">
        <v>480.38</v>
      </c>
      <c r="F884">
        <v>473.24</v>
      </c>
    </row>
    <row r="885" spans="1:6" x14ac:dyDescent="0.45">
      <c r="A885" s="1">
        <v>45531</v>
      </c>
      <c r="B885">
        <v>476.76</v>
      </c>
      <c r="C885">
        <v>27510000</v>
      </c>
      <c r="D885">
        <v>473.69</v>
      </c>
      <c r="E885">
        <v>477.84</v>
      </c>
      <c r="F885">
        <v>471.71</v>
      </c>
    </row>
    <row r="886" spans="1:6" x14ac:dyDescent="0.45">
      <c r="A886" s="1">
        <v>45532</v>
      </c>
      <c r="B886">
        <v>471.35</v>
      </c>
      <c r="C886">
        <v>37372440</v>
      </c>
      <c r="D886">
        <v>476.29</v>
      </c>
      <c r="E886">
        <v>477.02</v>
      </c>
      <c r="F886">
        <v>467.89</v>
      </c>
    </row>
    <row r="887" spans="1:6" x14ac:dyDescent="0.45">
      <c r="A887" s="1">
        <v>45533</v>
      </c>
      <c r="B887">
        <v>470.66</v>
      </c>
      <c r="C887">
        <v>41081470</v>
      </c>
      <c r="D887">
        <v>473.28</v>
      </c>
      <c r="E887">
        <v>477.93</v>
      </c>
      <c r="F887">
        <v>469.37200000000001</v>
      </c>
    </row>
    <row r="888" spans="1:6" x14ac:dyDescent="0.45">
      <c r="A888" s="1">
        <v>45534</v>
      </c>
      <c r="B888">
        <v>476.27</v>
      </c>
      <c r="C888">
        <v>33466470</v>
      </c>
      <c r="D888">
        <v>475.04</v>
      </c>
      <c r="E888">
        <v>476.9</v>
      </c>
      <c r="F888">
        <v>470.51</v>
      </c>
    </row>
    <row r="889" spans="1:6" x14ac:dyDescent="0.45">
      <c r="A889" s="1">
        <v>45538</v>
      </c>
      <c r="B889">
        <v>461.81</v>
      </c>
      <c r="C889">
        <v>44985220</v>
      </c>
      <c r="D889">
        <v>473.2</v>
      </c>
      <c r="E889">
        <v>473.33</v>
      </c>
      <c r="F889">
        <v>459.4101</v>
      </c>
    </row>
    <row r="890" spans="1:6" x14ac:dyDescent="0.45">
      <c r="A890" s="1">
        <v>45539</v>
      </c>
      <c r="B890">
        <v>460.61</v>
      </c>
      <c r="C890">
        <v>32505100</v>
      </c>
      <c r="D890">
        <v>458.67</v>
      </c>
      <c r="E890">
        <v>464.45</v>
      </c>
      <c r="F890">
        <v>457.73</v>
      </c>
    </row>
    <row r="891" spans="1:6" x14ac:dyDescent="0.45">
      <c r="A891" s="1">
        <v>45540</v>
      </c>
      <c r="B891">
        <v>461.04</v>
      </c>
      <c r="C891">
        <v>34452390</v>
      </c>
      <c r="D891">
        <v>458.97</v>
      </c>
      <c r="E891">
        <v>465.36</v>
      </c>
      <c r="F891">
        <v>457.93900000000002</v>
      </c>
    </row>
    <row r="892" spans="1:6" x14ac:dyDescent="0.45">
      <c r="A892" s="1">
        <v>45541</v>
      </c>
      <c r="B892">
        <v>448.69</v>
      </c>
      <c r="C892">
        <v>50624390</v>
      </c>
      <c r="D892">
        <v>460.33</v>
      </c>
      <c r="E892">
        <v>461.22</v>
      </c>
      <c r="F892">
        <v>448.19</v>
      </c>
    </row>
    <row r="893" spans="1:6" x14ac:dyDescent="0.45">
      <c r="A893" s="1">
        <v>45544</v>
      </c>
      <c r="B893">
        <v>454.46</v>
      </c>
      <c r="C893">
        <v>32981170</v>
      </c>
      <c r="D893">
        <v>453.06</v>
      </c>
      <c r="E893">
        <v>455.46</v>
      </c>
      <c r="F893">
        <v>449.82339999999999</v>
      </c>
    </row>
    <row r="894" spans="1:6" x14ac:dyDescent="0.45">
      <c r="A894" s="1">
        <v>45545</v>
      </c>
      <c r="B894">
        <v>458.66</v>
      </c>
      <c r="C894">
        <v>29680320</v>
      </c>
      <c r="D894">
        <v>456.24</v>
      </c>
      <c r="E894">
        <v>459.17</v>
      </c>
      <c r="F894">
        <v>452.23</v>
      </c>
    </row>
    <row r="895" spans="1:6" x14ac:dyDescent="0.45">
      <c r="A895" s="1">
        <v>45546</v>
      </c>
      <c r="B895">
        <v>468.62</v>
      </c>
      <c r="C895">
        <v>57842990</v>
      </c>
      <c r="D895">
        <v>459.91</v>
      </c>
      <c r="E895">
        <v>469.37</v>
      </c>
      <c r="F895">
        <v>451.28</v>
      </c>
    </row>
    <row r="896" spans="1:6" x14ac:dyDescent="0.45">
      <c r="A896" s="1">
        <v>45547</v>
      </c>
      <c r="B896">
        <v>473.22</v>
      </c>
      <c r="C896">
        <v>40175460</v>
      </c>
      <c r="D896">
        <v>468.65</v>
      </c>
      <c r="E896">
        <v>474.04</v>
      </c>
      <c r="F896">
        <v>466.84910000000002</v>
      </c>
    </row>
    <row r="897" spans="1:6" x14ac:dyDescent="0.45">
      <c r="A897" s="1">
        <v>45548</v>
      </c>
      <c r="B897">
        <v>475.34</v>
      </c>
      <c r="C897">
        <v>29111850</v>
      </c>
      <c r="D897">
        <v>472.48</v>
      </c>
      <c r="E897">
        <v>476.53</v>
      </c>
      <c r="F897">
        <v>472.25</v>
      </c>
    </row>
    <row r="898" spans="1:6" x14ac:dyDescent="0.45">
      <c r="A898" s="1">
        <v>45551</v>
      </c>
      <c r="B898">
        <v>473.24</v>
      </c>
      <c r="C898">
        <v>22585600</v>
      </c>
      <c r="D898">
        <v>473.19</v>
      </c>
      <c r="E898">
        <v>473.85989999999998</v>
      </c>
      <c r="F898">
        <v>469.89</v>
      </c>
    </row>
    <row r="899" spans="1:6" x14ac:dyDescent="0.45">
      <c r="A899" s="1">
        <v>45552</v>
      </c>
      <c r="B899">
        <v>473.49</v>
      </c>
      <c r="C899">
        <v>30084440</v>
      </c>
      <c r="D899">
        <v>476.29</v>
      </c>
      <c r="E899">
        <v>477.6</v>
      </c>
      <c r="F899">
        <v>470.97</v>
      </c>
    </row>
    <row r="900" spans="1:6" x14ac:dyDescent="0.45">
      <c r="A900" s="1">
        <v>45553</v>
      </c>
      <c r="B900">
        <v>471.44</v>
      </c>
      <c r="C900">
        <v>39909220</v>
      </c>
      <c r="D900">
        <v>474.7</v>
      </c>
      <c r="E900">
        <v>478.83</v>
      </c>
      <c r="F900">
        <v>470.83</v>
      </c>
    </row>
    <row r="901" spans="1:6" x14ac:dyDescent="0.45">
      <c r="A901" s="1">
        <v>45554</v>
      </c>
      <c r="B901">
        <v>483.36</v>
      </c>
      <c r="C901">
        <v>52782520</v>
      </c>
      <c r="D901">
        <v>482.61</v>
      </c>
      <c r="E901">
        <v>486.23</v>
      </c>
      <c r="F901">
        <v>480.49</v>
      </c>
    </row>
    <row r="902" spans="1:6" x14ac:dyDescent="0.45">
      <c r="A902" s="1">
        <v>45555</v>
      </c>
      <c r="B902">
        <v>482.44</v>
      </c>
      <c r="C902">
        <v>34577660</v>
      </c>
      <c r="D902">
        <v>482.49</v>
      </c>
      <c r="E902">
        <v>483.69</v>
      </c>
      <c r="F902">
        <v>478.3</v>
      </c>
    </row>
    <row r="903" spans="1:6" x14ac:dyDescent="0.45">
      <c r="A903" s="1">
        <v>45558</v>
      </c>
      <c r="B903">
        <v>483.04</v>
      </c>
      <c r="C903">
        <v>24842970</v>
      </c>
      <c r="D903">
        <v>482.95</v>
      </c>
      <c r="E903">
        <v>484.14</v>
      </c>
      <c r="F903">
        <v>481.6</v>
      </c>
    </row>
    <row r="904" spans="1:6" x14ac:dyDescent="0.45">
      <c r="A904" s="1">
        <v>45559</v>
      </c>
      <c r="B904">
        <v>485.37</v>
      </c>
      <c r="C904">
        <v>25952640</v>
      </c>
      <c r="D904">
        <v>484.46</v>
      </c>
      <c r="E904">
        <v>486.33</v>
      </c>
      <c r="F904">
        <v>480.17</v>
      </c>
    </row>
    <row r="905" spans="1:6" x14ac:dyDescent="0.45">
      <c r="A905" s="1">
        <v>45560</v>
      </c>
      <c r="B905">
        <v>485.82</v>
      </c>
      <c r="C905">
        <v>26549870</v>
      </c>
      <c r="D905">
        <v>484.74</v>
      </c>
      <c r="E905">
        <v>487.79</v>
      </c>
      <c r="F905">
        <v>484.56</v>
      </c>
    </row>
    <row r="906" spans="1:6" x14ac:dyDescent="0.45">
      <c r="A906" s="1">
        <v>45561</v>
      </c>
      <c r="B906">
        <v>489.47</v>
      </c>
      <c r="C906">
        <v>32020210</v>
      </c>
      <c r="D906">
        <v>493.37</v>
      </c>
      <c r="E906">
        <v>493.7</v>
      </c>
      <c r="F906">
        <v>485.8</v>
      </c>
    </row>
    <row r="907" spans="1:6" x14ac:dyDescent="0.45">
      <c r="A907" s="1">
        <v>45562</v>
      </c>
      <c r="B907">
        <v>486.75</v>
      </c>
      <c r="C907">
        <v>22851120</v>
      </c>
      <c r="D907">
        <v>490.5</v>
      </c>
      <c r="E907">
        <v>490.64</v>
      </c>
      <c r="F907">
        <v>485.56</v>
      </c>
    </row>
    <row r="908" spans="1:6" x14ac:dyDescent="0.45">
      <c r="A908" s="1">
        <v>45565</v>
      </c>
      <c r="B908">
        <v>488.07</v>
      </c>
      <c r="C908">
        <v>30330610</v>
      </c>
      <c r="D908">
        <v>485.78</v>
      </c>
      <c r="E908">
        <v>488.41</v>
      </c>
      <c r="F908">
        <v>482.92</v>
      </c>
    </row>
    <row r="909" spans="1:6" x14ac:dyDescent="0.45">
      <c r="A909" s="1">
        <v>45566</v>
      </c>
      <c r="B909">
        <v>481.27</v>
      </c>
      <c r="C909">
        <v>42735420</v>
      </c>
      <c r="D909">
        <v>487.7</v>
      </c>
      <c r="E909">
        <v>488</v>
      </c>
      <c r="F909">
        <v>477.4</v>
      </c>
    </row>
    <row r="910" spans="1:6" x14ac:dyDescent="0.45">
      <c r="A910" s="1">
        <v>45567</v>
      </c>
      <c r="B910">
        <v>481.95</v>
      </c>
      <c r="C910">
        <v>23744050</v>
      </c>
      <c r="D910">
        <v>480.36</v>
      </c>
      <c r="E910">
        <v>483.88</v>
      </c>
      <c r="F910">
        <v>477.72</v>
      </c>
    </row>
    <row r="911" spans="1:6" x14ac:dyDescent="0.45">
      <c r="A911" s="1">
        <v>45568</v>
      </c>
      <c r="B911">
        <v>481.59</v>
      </c>
      <c r="C911">
        <v>25337220</v>
      </c>
      <c r="D911">
        <v>479.74</v>
      </c>
      <c r="E911">
        <v>484.54500000000002</v>
      </c>
      <c r="F911">
        <v>478.99</v>
      </c>
    </row>
    <row r="912" spans="1:6" x14ac:dyDescent="0.45">
      <c r="A912" s="1">
        <v>45569</v>
      </c>
      <c r="B912">
        <v>487.32</v>
      </c>
      <c r="C912">
        <v>30744910</v>
      </c>
      <c r="D912">
        <v>487.45</v>
      </c>
      <c r="E912">
        <v>487.88</v>
      </c>
      <c r="F912">
        <v>482.38499999999999</v>
      </c>
    </row>
    <row r="913" spans="1:6" x14ac:dyDescent="0.45">
      <c r="A913" s="1">
        <v>45572</v>
      </c>
      <c r="B913">
        <v>482.1</v>
      </c>
      <c r="C913">
        <v>24975120</v>
      </c>
      <c r="D913">
        <v>485.39</v>
      </c>
      <c r="E913">
        <v>486.57</v>
      </c>
      <c r="F913">
        <v>480.87</v>
      </c>
    </row>
    <row r="914" spans="1:6" x14ac:dyDescent="0.45">
      <c r="A914" s="1">
        <v>45573</v>
      </c>
      <c r="B914">
        <v>489.3</v>
      </c>
      <c r="C914">
        <v>28272020</v>
      </c>
      <c r="D914">
        <v>484.66</v>
      </c>
      <c r="E914">
        <v>489.99</v>
      </c>
      <c r="F914">
        <v>483.84500000000003</v>
      </c>
    </row>
    <row r="915" spans="1:6" x14ac:dyDescent="0.45">
      <c r="A915" s="1">
        <v>45574</v>
      </c>
      <c r="B915">
        <v>493.15</v>
      </c>
      <c r="C915">
        <v>24994950</v>
      </c>
      <c r="D915">
        <v>489</v>
      </c>
      <c r="E915">
        <v>493.73</v>
      </c>
      <c r="F915">
        <v>487.95</v>
      </c>
    </row>
    <row r="916" spans="1:6" x14ac:dyDescent="0.45">
      <c r="A916" s="1">
        <v>45575</v>
      </c>
      <c r="B916">
        <v>492.59</v>
      </c>
      <c r="C916">
        <v>25750450</v>
      </c>
      <c r="D916">
        <v>490.85</v>
      </c>
      <c r="E916">
        <v>494.47</v>
      </c>
      <c r="F916">
        <v>489.53</v>
      </c>
    </row>
    <row r="917" spans="1:6" x14ac:dyDescent="0.45">
      <c r="A917" s="1">
        <v>45576</v>
      </c>
      <c r="B917">
        <v>493.36</v>
      </c>
      <c r="C917">
        <v>20644500</v>
      </c>
      <c r="D917">
        <v>490.74</v>
      </c>
      <c r="E917">
        <v>494.39</v>
      </c>
      <c r="F917">
        <v>490.17</v>
      </c>
    </row>
    <row r="918" spans="1:6" x14ac:dyDescent="0.45">
      <c r="A918" s="1">
        <v>45579</v>
      </c>
      <c r="B918">
        <v>497.5</v>
      </c>
      <c r="C918">
        <v>26060150</v>
      </c>
      <c r="D918">
        <v>495.77</v>
      </c>
      <c r="E918">
        <v>498.83</v>
      </c>
      <c r="F918">
        <v>495.26</v>
      </c>
    </row>
    <row r="919" spans="1:6" x14ac:dyDescent="0.45">
      <c r="A919" s="1">
        <v>45580</v>
      </c>
      <c r="B919">
        <v>490.85</v>
      </c>
      <c r="C919">
        <v>34784510</v>
      </c>
      <c r="D919">
        <v>497.83</v>
      </c>
      <c r="E919">
        <v>498.5</v>
      </c>
      <c r="F919">
        <v>488.68</v>
      </c>
    </row>
    <row r="920" spans="1:6" x14ac:dyDescent="0.45">
      <c r="A920" s="1">
        <v>45581</v>
      </c>
      <c r="B920">
        <v>490.91</v>
      </c>
      <c r="C920">
        <v>22996780</v>
      </c>
      <c r="D920">
        <v>491.18</v>
      </c>
      <c r="E920">
        <v>491.69</v>
      </c>
      <c r="F920">
        <v>487.57</v>
      </c>
    </row>
    <row r="921" spans="1:6" x14ac:dyDescent="0.45">
      <c r="A921" s="1">
        <v>45582</v>
      </c>
      <c r="B921">
        <v>491.25</v>
      </c>
      <c r="C921">
        <v>27210660</v>
      </c>
      <c r="D921">
        <v>496.44</v>
      </c>
      <c r="E921">
        <v>496.49</v>
      </c>
      <c r="F921">
        <v>491.19009999999997</v>
      </c>
    </row>
    <row r="922" spans="1:6" x14ac:dyDescent="0.45">
      <c r="A922" s="1">
        <v>45583</v>
      </c>
      <c r="B922">
        <v>494.47</v>
      </c>
      <c r="C922">
        <v>25335030</v>
      </c>
      <c r="D922">
        <v>494.06</v>
      </c>
      <c r="E922">
        <v>495.57</v>
      </c>
      <c r="F922">
        <v>493.3</v>
      </c>
    </row>
    <row r="923" spans="1:6" x14ac:dyDescent="0.45">
      <c r="A923" s="1">
        <v>45586</v>
      </c>
      <c r="B923">
        <v>495.42</v>
      </c>
      <c r="C923">
        <v>30336550</v>
      </c>
      <c r="D923">
        <v>493.25</v>
      </c>
      <c r="E923">
        <v>496.23</v>
      </c>
      <c r="F923">
        <v>491.31</v>
      </c>
    </row>
    <row r="924" spans="1:6" x14ac:dyDescent="0.45">
      <c r="A924" s="1">
        <v>45587</v>
      </c>
      <c r="B924">
        <v>495.96</v>
      </c>
      <c r="C924">
        <v>26685840</v>
      </c>
      <c r="D924">
        <v>492.73</v>
      </c>
      <c r="E924">
        <v>497.44499999999999</v>
      </c>
      <c r="F924">
        <v>491.97</v>
      </c>
    </row>
    <row r="925" spans="1:6" x14ac:dyDescent="0.45">
      <c r="A925" s="1">
        <v>45588</v>
      </c>
      <c r="B925">
        <v>488.36</v>
      </c>
      <c r="C925">
        <v>39346570</v>
      </c>
      <c r="D925">
        <v>493.59</v>
      </c>
      <c r="E925">
        <v>494.25</v>
      </c>
      <c r="F925">
        <v>485.05</v>
      </c>
    </row>
    <row r="926" spans="1:6" x14ac:dyDescent="0.45">
      <c r="A926" s="1">
        <v>45589</v>
      </c>
      <c r="B926">
        <v>492.32</v>
      </c>
      <c r="C926">
        <v>22024930</v>
      </c>
      <c r="D926">
        <v>492.11</v>
      </c>
      <c r="E926">
        <v>493</v>
      </c>
      <c r="F926">
        <v>489.44</v>
      </c>
    </row>
    <row r="927" spans="1:6" x14ac:dyDescent="0.45">
      <c r="A927" s="1">
        <v>45590</v>
      </c>
      <c r="B927">
        <v>495.32</v>
      </c>
      <c r="C927">
        <v>38762140</v>
      </c>
      <c r="D927">
        <v>495.14</v>
      </c>
      <c r="E927">
        <v>500.28</v>
      </c>
      <c r="F927">
        <v>494.43</v>
      </c>
    </row>
    <row r="928" spans="1:6" x14ac:dyDescent="0.45">
      <c r="A928" s="1">
        <v>45593</v>
      </c>
      <c r="B928">
        <v>495.4</v>
      </c>
      <c r="C928">
        <v>20477780</v>
      </c>
      <c r="D928">
        <v>498.46</v>
      </c>
      <c r="E928">
        <v>498.52</v>
      </c>
      <c r="F928">
        <v>495.1</v>
      </c>
    </row>
    <row r="929" spans="1:6" x14ac:dyDescent="0.45">
      <c r="A929" s="1">
        <v>45594</v>
      </c>
      <c r="B929">
        <v>500.16</v>
      </c>
      <c r="C929">
        <v>28014060</v>
      </c>
      <c r="D929">
        <v>495.72</v>
      </c>
      <c r="E929">
        <v>501.35</v>
      </c>
      <c r="F929">
        <v>493.85</v>
      </c>
    </row>
    <row r="930" spans="1:6" x14ac:dyDescent="0.45">
      <c r="A930" s="1">
        <v>45595</v>
      </c>
      <c r="B930">
        <v>496.38</v>
      </c>
      <c r="C930">
        <v>29755960</v>
      </c>
      <c r="D930">
        <v>499.39</v>
      </c>
      <c r="E930">
        <v>500.35</v>
      </c>
      <c r="F930">
        <v>495.89</v>
      </c>
    </row>
    <row r="931" spans="1:6" x14ac:dyDescent="0.45">
      <c r="A931" s="1">
        <v>45596</v>
      </c>
      <c r="B931">
        <v>483.85</v>
      </c>
      <c r="C931">
        <v>41245250</v>
      </c>
      <c r="D931">
        <v>492.38</v>
      </c>
      <c r="E931">
        <v>492.43</v>
      </c>
      <c r="F931">
        <v>483.75</v>
      </c>
    </row>
    <row r="932" spans="1:6" x14ac:dyDescent="0.45">
      <c r="A932" s="1">
        <v>45597</v>
      </c>
      <c r="B932">
        <v>487.43</v>
      </c>
      <c r="C932">
        <v>33655760</v>
      </c>
      <c r="D932">
        <v>485.5</v>
      </c>
      <c r="E932">
        <v>490.75069999999999</v>
      </c>
      <c r="F932">
        <v>485.2</v>
      </c>
    </row>
    <row r="933" spans="1:6" x14ac:dyDescent="0.45">
      <c r="A933" s="1">
        <v>45600</v>
      </c>
      <c r="B933">
        <v>486.01</v>
      </c>
      <c r="C933">
        <v>23291580</v>
      </c>
      <c r="D933">
        <v>486.82</v>
      </c>
      <c r="E933">
        <v>489.38</v>
      </c>
      <c r="F933">
        <v>484.25450000000001</v>
      </c>
    </row>
    <row r="934" spans="1:6" x14ac:dyDescent="0.45">
      <c r="A934" s="1">
        <v>45601</v>
      </c>
      <c r="B934">
        <v>492.21</v>
      </c>
      <c r="C934">
        <v>24353620</v>
      </c>
      <c r="D934">
        <v>487.61</v>
      </c>
      <c r="E934">
        <v>492.88</v>
      </c>
      <c r="F934">
        <v>487.52</v>
      </c>
    </row>
    <row r="935" spans="1:6" x14ac:dyDescent="0.45">
      <c r="A935" s="1">
        <v>45602</v>
      </c>
      <c r="B935">
        <v>505.58</v>
      </c>
      <c r="C935">
        <v>43082200</v>
      </c>
      <c r="D935">
        <v>500.56</v>
      </c>
      <c r="E935">
        <v>506.41</v>
      </c>
      <c r="F935">
        <v>499.6</v>
      </c>
    </row>
    <row r="936" spans="1:6" x14ac:dyDescent="0.45">
      <c r="A936" s="1">
        <v>45603</v>
      </c>
      <c r="B936">
        <v>513.54</v>
      </c>
      <c r="C936">
        <v>32853120</v>
      </c>
      <c r="D936">
        <v>508.4</v>
      </c>
      <c r="E936">
        <v>514.33000000000004</v>
      </c>
      <c r="F936">
        <v>508.34</v>
      </c>
    </row>
    <row r="937" spans="1:6" x14ac:dyDescent="0.45">
      <c r="A937" s="1">
        <v>45604</v>
      </c>
      <c r="B937">
        <v>514.14</v>
      </c>
      <c r="C937">
        <v>22924480</v>
      </c>
      <c r="D937">
        <v>513.03499999999997</v>
      </c>
      <c r="E937">
        <v>514.91750000000002</v>
      </c>
      <c r="F937">
        <v>512.41</v>
      </c>
    </row>
    <row r="938" spans="1:6" x14ac:dyDescent="0.45">
      <c r="A938" s="1">
        <v>45607</v>
      </c>
      <c r="B938">
        <v>513.84</v>
      </c>
      <c r="C938">
        <v>24167480</v>
      </c>
      <c r="D938">
        <v>515.37</v>
      </c>
      <c r="E938">
        <v>515.58000000000004</v>
      </c>
      <c r="F938">
        <v>510.92</v>
      </c>
    </row>
    <row r="939" spans="1:6" x14ac:dyDescent="0.45">
      <c r="A939" s="1">
        <v>45608</v>
      </c>
      <c r="B939">
        <v>512.91</v>
      </c>
      <c r="C939">
        <v>25835290</v>
      </c>
      <c r="D939">
        <v>513.77</v>
      </c>
      <c r="E939">
        <v>514.66</v>
      </c>
      <c r="F939">
        <v>509.83</v>
      </c>
    </row>
    <row r="940" spans="1:6" x14ac:dyDescent="0.45">
      <c r="A940" s="1">
        <v>45609</v>
      </c>
      <c r="B940">
        <v>512.25</v>
      </c>
      <c r="C940">
        <v>24567420</v>
      </c>
      <c r="D940">
        <v>512.4</v>
      </c>
      <c r="E940">
        <v>514.98</v>
      </c>
      <c r="F940">
        <v>509.95</v>
      </c>
    </row>
    <row r="941" spans="1:6" x14ac:dyDescent="0.45">
      <c r="A941" s="1">
        <v>45610</v>
      </c>
      <c r="B941">
        <v>508.69</v>
      </c>
      <c r="C941">
        <v>28679520</v>
      </c>
      <c r="D941">
        <v>511.91</v>
      </c>
      <c r="E941">
        <v>512.79</v>
      </c>
      <c r="F941">
        <v>507.77</v>
      </c>
    </row>
    <row r="942" spans="1:6" x14ac:dyDescent="0.45">
      <c r="A942" s="1">
        <v>45611</v>
      </c>
      <c r="B942">
        <v>496.57</v>
      </c>
      <c r="C942">
        <v>51461050</v>
      </c>
      <c r="D942">
        <v>502.94</v>
      </c>
      <c r="E942">
        <v>503.33</v>
      </c>
      <c r="F942">
        <v>494.49</v>
      </c>
    </row>
    <row r="943" spans="1:6" x14ac:dyDescent="0.45">
      <c r="A943" s="1">
        <v>45614</v>
      </c>
      <c r="B943">
        <v>500.02</v>
      </c>
      <c r="C943">
        <v>27192660</v>
      </c>
      <c r="D943">
        <v>498.13</v>
      </c>
      <c r="E943">
        <v>502.14</v>
      </c>
      <c r="F943">
        <v>496.73</v>
      </c>
    </row>
    <row r="944" spans="1:6" x14ac:dyDescent="0.45">
      <c r="A944" s="1">
        <v>45615</v>
      </c>
      <c r="B944">
        <v>503.46</v>
      </c>
      <c r="C944">
        <v>24523020</v>
      </c>
      <c r="D944">
        <v>497.42</v>
      </c>
      <c r="E944">
        <v>503.95359999999999</v>
      </c>
      <c r="F944">
        <v>497.08</v>
      </c>
    </row>
    <row r="945" spans="1:6" x14ac:dyDescent="0.45">
      <c r="A945" s="1">
        <v>45616</v>
      </c>
      <c r="B945">
        <v>503.17</v>
      </c>
      <c r="C945">
        <v>29565490</v>
      </c>
      <c r="D945">
        <v>503.16</v>
      </c>
      <c r="E945">
        <v>503.48</v>
      </c>
      <c r="F945">
        <v>496.55500000000001</v>
      </c>
    </row>
    <row r="946" spans="1:6" x14ac:dyDescent="0.45">
      <c r="A946" s="1">
        <v>45617</v>
      </c>
      <c r="B946">
        <v>504.98</v>
      </c>
      <c r="C946">
        <v>34526740</v>
      </c>
      <c r="D946">
        <v>506.24</v>
      </c>
      <c r="E946">
        <v>506.96</v>
      </c>
      <c r="F946">
        <v>497.56</v>
      </c>
    </row>
    <row r="947" spans="1:6" x14ac:dyDescent="0.45">
      <c r="A947" s="1">
        <v>45618</v>
      </c>
      <c r="B947">
        <v>505.79</v>
      </c>
      <c r="C947">
        <v>23826640</v>
      </c>
      <c r="D947">
        <v>504.42</v>
      </c>
      <c r="E947">
        <v>506.53</v>
      </c>
      <c r="F947">
        <v>502.78</v>
      </c>
    </row>
    <row r="948" spans="1:6" x14ac:dyDescent="0.45">
      <c r="A948" s="1">
        <v>45621</v>
      </c>
      <c r="B948">
        <v>506.59</v>
      </c>
      <c r="C948">
        <v>26375170</v>
      </c>
      <c r="D948">
        <v>509.9</v>
      </c>
      <c r="E948">
        <v>511.45249999999999</v>
      </c>
      <c r="F948">
        <v>504.26249999999999</v>
      </c>
    </row>
    <row r="949" spans="1:6" x14ac:dyDescent="0.45">
      <c r="A949" s="1">
        <v>45622</v>
      </c>
      <c r="B949">
        <v>509.31</v>
      </c>
      <c r="C949">
        <v>26557060</v>
      </c>
      <c r="D949">
        <v>508.08</v>
      </c>
      <c r="E949">
        <v>510.14</v>
      </c>
      <c r="F949">
        <v>507.23</v>
      </c>
    </row>
    <row r="950" spans="1:6" x14ac:dyDescent="0.45">
      <c r="A950" s="1">
        <v>45623</v>
      </c>
      <c r="B950">
        <v>505.3</v>
      </c>
      <c r="C950">
        <v>24957440</v>
      </c>
      <c r="D950">
        <v>508.17</v>
      </c>
      <c r="E950">
        <v>508.24</v>
      </c>
      <c r="F950">
        <v>501.93</v>
      </c>
    </row>
    <row r="951" spans="1:6" x14ac:dyDescent="0.45">
      <c r="A951" s="1">
        <v>45625</v>
      </c>
      <c r="B951">
        <v>509.74</v>
      </c>
      <c r="C951">
        <v>15333970</v>
      </c>
      <c r="D951">
        <v>505.93</v>
      </c>
      <c r="E951">
        <v>510.34</v>
      </c>
      <c r="F951">
        <v>505.31</v>
      </c>
    </row>
    <row r="952" spans="1:6" x14ac:dyDescent="0.45">
      <c r="A952" s="1">
        <v>45628</v>
      </c>
      <c r="B952">
        <v>515.29</v>
      </c>
      <c r="C952">
        <v>25147170</v>
      </c>
      <c r="D952">
        <v>511.01</v>
      </c>
      <c r="E952">
        <v>516.26</v>
      </c>
      <c r="F952">
        <v>510.62</v>
      </c>
    </row>
    <row r="953" spans="1:6" x14ac:dyDescent="0.45">
      <c r="A953" s="1">
        <v>45629</v>
      </c>
      <c r="B953">
        <v>516.87</v>
      </c>
      <c r="C953">
        <v>18597900</v>
      </c>
      <c r="D953">
        <v>513.95000000000005</v>
      </c>
      <c r="E953">
        <v>517.15</v>
      </c>
      <c r="F953">
        <v>513.37</v>
      </c>
    </row>
    <row r="954" spans="1:6" x14ac:dyDescent="0.45">
      <c r="A954" s="1">
        <v>45630</v>
      </c>
      <c r="B954">
        <v>523.26</v>
      </c>
      <c r="C954">
        <v>26086220</v>
      </c>
      <c r="D954">
        <v>520.32000000000005</v>
      </c>
      <c r="E954">
        <v>523.52</v>
      </c>
      <c r="F954">
        <v>519.6</v>
      </c>
    </row>
    <row r="955" spans="1:6" x14ac:dyDescent="0.45">
      <c r="A955" s="1">
        <v>45631</v>
      </c>
      <c r="B955">
        <v>521.80999999999995</v>
      </c>
      <c r="C955">
        <v>18169630</v>
      </c>
      <c r="D955">
        <v>523.30999999999995</v>
      </c>
      <c r="E955">
        <v>524.03989999999999</v>
      </c>
      <c r="F955">
        <v>521.41999999999996</v>
      </c>
    </row>
    <row r="956" spans="1:6" x14ac:dyDescent="0.45">
      <c r="A956" s="1">
        <v>45632</v>
      </c>
      <c r="B956">
        <v>526.48</v>
      </c>
      <c r="C956">
        <v>23762610</v>
      </c>
      <c r="D956">
        <v>522.48</v>
      </c>
      <c r="E956">
        <v>526.72</v>
      </c>
      <c r="F956">
        <v>522.35</v>
      </c>
    </row>
    <row r="957" spans="1:6" x14ac:dyDescent="0.45">
      <c r="A957" s="1">
        <v>45635</v>
      </c>
      <c r="B957">
        <v>522.38</v>
      </c>
      <c r="C957">
        <v>20674410</v>
      </c>
      <c r="D957">
        <v>525.54999999999995</v>
      </c>
      <c r="E957">
        <v>526.35</v>
      </c>
      <c r="F957">
        <v>521.22</v>
      </c>
    </row>
    <row r="958" spans="1:6" x14ac:dyDescent="0.45">
      <c r="A958" s="1">
        <v>45636</v>
      </c>
      <c r="B958">
        <v>520.6</v>
      </c>
      <c r="C958">
        <v>24350040</v>
      </c>
      <c r="D958">
        <v>523.62</v>
      </c>
      <c r="E958">
        <v>525.38</v>
      </c>
      <c r="F958">
        <v>519.16</v>
      </c>
    </row>
    <row r="959" spans="1:6" x14ac:dyDescent="0.45">
      <c r="A959" s="1">
        <v>45637</v>
      </c>
      <c r="B959">
        <v>529.91999999999996</v>
      </c>
      <c r="C959">
        <v>32168580</v>
      </c>
      <c r="D959">
        <v>525</v>
      </c>
      <c r="E959">
        <v>530.61</v>
      </c>
      <c r="F959">
        <v>524.59</v>
      </c>
    </row>
    <row r="960" spans="1:6" x14ac:dyDescent="0.45">
      <c r="A960" s="1">
        <v>45638</v>
      </c>
      <c r="B960">
        <v>526.5</v>
      </c>
      <c r="C960">
        <v>23577500</v>
      </c>
      <c r="D960">
        <v>527.67999999999995</v>
      </c>
      <c r="E960">
        <v>528.96</v>
      </c>
      <c r="F960">
        <v>526.02</v>
      </c>
    </row>
    <row r="961" spans="1:6" x14ac:dyDescent="0.45">
      <c r="A961" s="1">
        <v>45639</v>
      </c>
      <c r="B961">
        <v>530.53</v>
      </c>
      <c r="C961">
        <v>28780410</v>
      </c>
      <c r="D961">
        <v>530.46</v>
      </c>
      <c r="E961">
        <v>533.16610000000003</v>
      </c>
      <c r="F961">
        <v>527.30010000000004</v>
      </c>
    </row>
    <row r="962" spans="1:6" x14ac:dyDescent="0.45">
      <c r="A962" s="1">
        <v>45642</v>
      </c>
      <c r="B962">
        <v>538.16999999999996</v>
      </c>
      <c r="C962">
        <v>31979860</v>
      </c>
      <c r="D962">
        <v>533.08000000000004</v>
      </c>
      <c r="E962">
        <v>539.15</v>
      </c>
      <c r="F962">
        <v>533</v>
      </c>
    </row>
    <row r="963" spans="1:6" x14ac:dyDescent="0.45">
      <c r="A963" s="1">
        <v>45643</v>
      </c>
      <c r="B963">
        <v>535.79999999999995</v>
      </c>
      <c r="C963">
        <v>28579070</v>
      </c>
      <c r="D963">
        <v>536.36</v>
      </c>
      <c r="E963">
        <v>537.48</v>
      </c>
      <c r="F963">
        <v>534.13</v>
      </c>
    </row>
    <row r="964" spans="1:6" x14ac:dyDescent="0.45">
      <c r="A964" s="1">
        <v>45644</v>
      </c>
      <c r="B964">
        <v>516.47</v>
      </c>
      <c r="C964">
        <v>54703160</v>
      </c>
      <c r="D964">
        <v>535.15</v>
      </c>
      <c r="E964">
        <v>536.87990000000002</v>
      </c>
      <c r="F964">
        <v>515.01</v>
      </c>
    </row>
    <row r="965" spans="1:6" x14ac:dyDescent="0.45">
      <c r="A965" s="1">
        <v>45645</v>
      </c>
      <c r="B965">
        <v>514.16999999999996</v>
      </c>
      <c r="C965">
        <v>46441750</v>
      </c>
      <c r="D965">
        <v>521.19000000000005</v>
      </c>
      <c r="E965">
        <v>521.75990000000002</v>
      </c>
      <c r="F965">
        <v>513.83000000000004</v>
      </c>
    </row>
    <row r="966" spans="1:6" x14ac:dyDescent="0.45">
      <c r="A966" s="1">
        <v>45646</v>
      </c>
      <c r="B966">
        <v>518.66</v>
      </c>
      <c r="C966">
        <v>60529960</v>
      </c>
      <c r="D966">
        <v>510.44</v>
      </c>
      <c r="E966">
        <v>524.82000000000005</v>
      </c>
      <c r="F966">
        <v>509.29</v>
      </c>
    </row>
    <row r="967" spans="1:6" x14ac:dyDescent="0.45">
      <c r="A967" s="1">
        <v>45649</v>
      </c>
      <c r="B967">
        <v>522.87</v>
      </c>
      <c r="C967">
        <v>29672800</v>
      </c>
      <c r="D967">
        <v>519.54999999999995</v>
      </c>
      <c r="E967">
        <v>523.25</v>
      </c>
      <c r="F967">
        <v>516.13</v>
      </c>
    </row>
    <row r="968" spans="1:6" x14ac:dyDescent="0.45">
      <c r="A968" s="1">
        <v>45650</v>
      </c>
      <c r="B968">
        <v>529.96</v>
      </c>
      <c r="C968">
        <v>17558220</v>
      </c>
      <c r="D968">
        <v>524.83000000000004</v>
      </c>
      <c r="E968">
        <v>530.04999999999995</v>
      </c>
      <c r="F968">
        <v>524.19000000000005</v>
      </c>
    </row>
    <row r="969" spans="1:6" x14ac:dyDescent="0.45">
      <c r="A969" s="1">
        <v>45652</v>
      </c>
      <c r="B969">
        <v>529.6</v>
      </c>
      <c r="C969">
        <v>19141490</v>
      </c>
      <c r="D969">
        <v>528.32000000000005</v>
      </c>
      <c r="E969">
        <v>531.24</v>
      </c>
      <c r="F969">
        <v>526.30999999999995</v>
      </c>
    </row>
    <row r="970" spans="1:6" x14ac:dyDescent="0.45">
      <c r="A970" s="1">
        <v>45653</v>
      </c>
      <c r="B970">
        <v>522.55999999999995</v>
      </c>
      <c r="C970">
        <v>33839560</v>
      </c>
      <c r="D970">
        <v>526.01</v>
      </c>
      <c r="E970">
        <v>526.45000000000005</v>
      </c>
      <c r="F970">
        <v>517.86</v>
      </c>
    </row>
    <row r="971" spans="1:6" x14ac:dyDescent="0.45">
      <c r="A971" s="1">
        <v>45656</v>
      </c>
      <c r="B971">
        <v>515.61</v>
      </c>
      <c r="C971">
        <v>34584030</v>
      </c>
      <c r="D971">
        <v>515.51</v>
      </c>
      <c r="E971">
        <v>519.36</v>
      </c>
      <c r="F971">
        <v>511.83</v>
      </c>
    </row>
    <row r="972" spans="1:6" x14ac:dyDescent="0.45">
      <c r="A972" s="1">
        <v>45657</v>
      </c>
      <c r="B972">
        <v>511.23</v>
      </c>
      <c r="C972">
        <v>29117030</v>
      </c>
      <c r="D972">
        <v>516.9</v>
      </c>
      <c r="E972">
        <v>517.66</v>
      </c>
      <c r="F972">
        <v>510.26</v>
      </c>
    </row>
    <row r="973" spans="1:6" x14ac:dyDescent="0.45">
      <c r="A973" s="1">
        <v>45659</v>
      </c>
      <c r="B973">
        <v>510.23</v>
      </c>
      <c r="C973">
        <v>36389780</v>
      </c>
      <c r="D973">
        <v>514.29999999999995</v>
      </c>
      <c r="E973">
        <v>516.64</v>
      </c>
      <c r="F973">
        <v>505.71</v>
      </c>
    </row>
    <row r="974" spans="1:6" x14ac:dyDescent="0.45">
      <c r="A974" s="1">
        <v>45660</v>
      </c>
      <c r="B974">
        <v>518.58000000000004</v>
      </c>
      <c r="C974">
        <v>29059520</v>
      </c>
      <c r="D974">
        <v>513.35</v>
      </c>
      <c r="E974">
        <v>519.6454</v>
      </c>
      <c r="F974">
        <v>512.53</v>
      </c>
    </row>
    <row r="975" spans="1:6" x14ac:dyDescent="0.45">
      <c r="A975" s="1">
        <v>45663</v>
      </c>
      <c r="B975">
        <v>524.54</v>
      </c>
      <c r="C975">
        <v>36109730</v>
      </c>
      <c r="D975">
        <v>524.02</v>
      </c>
      <c r="E975">
        <v>527.91999999999996</v>
      </c>
      <c r="F975">
        <v>522.03</v>
      </c>
    </row>
    <row r="976" spans="1:6" x14ac:dyDescent="0.45">
      <c r="A976" s="1">
        <v>45664</v>
      </c>
      <c r="B976">
        <v>515.17999999999995</v>
      </c>
      <c r="C976">
        <v>36690270</v>
      </c>
      <c r="D976">
        <v>525.59</v>
      </c>
      <c r="E976">
        <v>525.99</v>
      </c>
      <c r="F976">
        <v>513.28</v>
      </c>
    </row>
    <row r="977" spans="1:6" x14ac:dyDescent="0.45">
      <c r="A977" s="1">
        <v>45665</v>
      </c>
      <c r="B977">
        <v>515.27</v>
      </c>
      <c r="C977">
        <v>30777780</v>
      </c>
      <c r="D977">
        <v>515.08000000000004</v>
      </c>
      <c r="E977">
        <v>516.91989999999998</v>
      </c>
      <c r="F977">
        <v>510.57</v>
      </c>
    </row>
    <row r="978" spans="1:6" x14ac:dyDescent="0.45">
      <c r="A978" s="1">
        <v>45667</v>
      </c>
      <c r="B978">
        <v>507.19</v>
      </c>
      <c r="C978">
        <v>40532500</v>
      </c>
      <c r="D978">
        <v>511.48</v>
      </c>
      <c r="E978">
        <v>511.58</v>
      </c>
      <c r="F978">
        <v>503.92</v>
      </c>
    </row>
    <row r="979" spans="1:6" x14ac:dyDescent="0.45">
      <c r="A979" s="1">
        <v>45670</v>
      </c>
      <c r="B979">
        <v>505.56</v>
      </c>
      <c r="C979">
        <v>31694210</v>
      </c>
      <c r="D979">
        <v>501.2</v>
      </c>
      <c r="E979">
        <v>506.02</v>
      </c>
      <c r="F979">
        <v>499.7</v>
      </c>
    </row>
    <row r="980" spans="1:6" x14ac:dyDescent="0.45">
      <c r="A980" s="1">
        <v>45671</v>
      </c>
      <c r="B980">
        <v>505.08</v>
      </c>
      <c r="C980">
        <v>33737240</v>
      </c>
      <c r="D980">
        <v>508.74</v>
      </c>
      <c r="E980">
        <v>510.15499999999997</v>
      </c>
      <c r="F980">
        <v>501.59</v>
      </c>
    </row>
    <row r="981" spans="1:6" x14ac:dyDescent="0.45">
      <c r="A981" s="1">
        <v>45672</v>
      </c>
      <c r="B981">
        <v>516.70000000000005</v>
      </c>
      <c r="C981">
        <v>34957550</v>
      </c>
      <c r="D981">
        <v>513.03</v>
      </c>
      <c r="E981">
        <v>517.85</v>
      </c>
      <c r="F981">
        <v>511.46</v>
      </c>
    </row>
    <row r="982" spans="1:6" x14ac:dyDescent="0.45">
      <c r="A982" s="1">
        <v>45673</v>
      </c>
      <c r="B982">
        <v>513.08000000000004</v>
      </c>
      <c r="C982">
        <v>28229040</v>
      </c>
      <c r="D982">
        <v>518.98</v>
      </c>
      <c r="E982">
        <v>519.05989999999997</v>
      </c>
      <c r="F982">
        <v>512.95000000000005</v>
      </c>
    </row>
    <row r="983" spans="1:6" x14ac:dyDescent="0.45">
      <c r="A983" s="1">
        <v>45674</v>
      </c>
      <c r="B983">
        <v>521.74</v>
      </c>
      <c r="C983">
        <v>51837940</v>
      </c>
      <c r="D983">
        <v>522.85</v>
      </c>
      <c r="E983">
        <v>524.07330000000002</v>
      </c>
      <c r="F983">
        <v>513.10860000000002</v>
      </c>
    </row>
    <row r="984" spans="1:6" x14ac:dyDescent="0.45">
      <c r="A984" s="1">
        <v>45678</v>
      </c>
      <c r="B984">
        <v>524.79999999999995</v>
      </c>
      <c r="C984">
        <v>23627970</v>
      </c>
      <c r="D984">
        <v>524.48</v>
      </c>
      <c r="E984">
        <v>525.97</v>
      </c>
      <c r="F984">
        <v>520.05999999999995</v>
      </c>
    </row>
    <row r="985" spans="1:6" x14ac:dyDescent="0.45">
      <c r="A985" s="1">
        <v>45679</v>
      </c>
      <c r="B985">
        <v>531.51</v>
      </c>
      <c r="C985">
        <v>33592990</v>
      </c>
      <c r="D985">
        <v>529.57000000000005</v>
      </c>
      <c r="E985">
        <v>533.82000000000005</v>
      </c>
      <c r="F985">
        <v>529.26</v>
      </c>
    </row>
    <row r="986" spans="1:6" x14ac:dyDescent="0.45">
      <c r="A986" s="1">
        <v>45680</v>
      </c>
      <c r="B986">
        <v>532.64</v>
      </c>
      <c r="C986">
        <v>23096590</v>
      </c>
      <c r="D986">
        <v>529.04</v>
      </c>
      <c r="E986">
        <v>532.76</v>
      </c>
      <c r="F986">
        <v>528.45000000000005</v>
      </c>
    </row>
    <row r="987" spans="1:6" x14ac:dyDescent="0.45">
      <c r="A987" s="1">
        <v>45681</v>
      </c>
      <c r="B987">
        <v>529.63</v>
      </c>
      <c r="C987">
        <v>19878250</v>
      </c>
      <c r="D987">
        <v>533.02</v>
      </c>
      <c r="E987">
        <v>533.79</v>
      </c>
      <c r="F987">
        <v>528.15</v>
      </c>
    </row>
    <row r="988" spans="1:6" x14ac:dyDescent="0.45">
      <c r="A988" s="1">
        <v>45684</v>
      </c>
      <c r="B988">
        <v>514.21</v>
      </c>
      <c r="C988">
        <v>60771700</v>
      </c>
      <c r="D988">
        <v>511</v>
      </c>
      <c r="E988">
        <v>517.99</v>
      </c>
      <c r="F988">
        <v>510.15</v>
      </c>
    </row>
    <row r="989" spans="1:6" x14ac:dyDescent="0.45">
      <c r="A989" s="1">
        <v>45685</v>
      </c>
      <c r="B989">
        <v>521.80999999999995</v>
      </c>
      <c r="C989">
        <v>33194210</v>
      </c>
      <c r="D989">
        <v>515.22</v>
      </c>
      <c r="E989">
        <v>523</v>
      </c>
      <c r="F989">
        <v>511.78</v>
      </c>
    </row>
    <row r="990" spans="1:6" x14ac:dyDescent="0.45">
      <c r="A990" s="1">
        <v>45686</v>
      </c>
      <c r="B990">
        <v>520.83000000000004</v>
      </c>
      <c r="C990">
        <v>26649010</v>
      </c>
      <c r="D990">
        <v>522.46</v>
      </c>
      <c r="E990">
        <v>522.59</v>
      </c>
      <c r="F990">
        <v>516.89880000000005</v>
      </c>
    </row>
    <row r="991" spans="1:6" x14ac:dyDescent="0.45">
      <c r="A991" s="1">
        <v>45687</v>
      </c>
      <c r="B991">
        <v>523.04999999999995</v>
      </c>
      <c r="C991">
        <v>27431300</v>
      </c>
      <c r="D991">
        <v>523.71</v>
      </c>
      <c r="E991">
        <v>526.09500000000003</v>
      </c>
      <c r="F991">
        <v>518.21</v>
      </c>
    </row>
    <row r="992" spans="1:6" x14ac:dyDescent="0.45">
      <c r="A992" s="1">
        <v>45688</v>
      </c>
      <c r="B992">
        <v>522.29</v>
      </c>
      <c r="C992">
        <v>38845470</v>
      </c>
      <c r="D992">
        <v>526.91999999999996</v>
      </c>
      <c r="E992">
        <v>531.51779999999997</v>
      </c>
      <c r="F992">
        <v>521.19000000000005</v>
      </c>
    </row>
    <row r="993" spans="1:6" x14ac:dyDescent="0.45">
      <c r="A993" s="1">
        <v>45691</v>
      </c>
      <c r="B993">
        <v>518.11</v>
      </c>
      <c r="C993">
        <v>40580840</v>
      </c>
      <c r="D993">
        <v>513.47</v>
      </c>
      <c r="E993">
        <v>520.84960000000001</v>
      </c>
      <c r="F993">
        <v>511.05</v>
      </c>
    </row>
    <row r="994" spans="1:6" x14ac:dyDescent="0.45">
      <c r="A994" s="1">
        <v>45692</v>
      </c>
      <c r="B994">
        <v>524.47</v>
      </c>
      <c r="C994">
        <v>26046750</v>
      </c>
      <c r="D994">
        <v>518.63</v>
      </c>
      <c r="E994">
        <v>525.11</v>
      </c>
      <c r="F994">
        <v>518.23</v>
      </c>
    </row>
    <row r="995" spans="1:6" x14ac:dyDescent="0.45">
      <c r="A995" s="1">
        <v>45693</v>
      </c>
      <c r="B995">
        <v>526.85</v>
      </c>
      <c r="C995">
        <v>21134070</v>
      </c>
      <c r="D995">
        <v>521.82000000000005</v>
      </c>
      <c r="E995">
        <v>527.01</v>
      </c>
      <c r="F995">
        <v>520.62</v>
      </c>
    </row>
    <row r="996" spans="1:6" x14ac:dyDescent="0.45">
      <c r="A996" s="1">
        <v>45694</v>
      </c>
      <c r="B996">
        <v>529.6</v>
      </c>
      <c r="C996">
        <v>19434450</v>
      </c>
      <c r="D996">
        <v>527.36</v>
      </c>
      <c r="E996">
        <v>529.80999999999995</v>
      </c>
      <c r="F996">
        <v>525.74130000000002</v>
      </c>
    </row>
    <row r="997" spans="1:6" x14ac:dyDescent="0.45">
      <c r="A997" s="1">
        <v>45695</v>
      </c>
      <c r="B997">
        <v>522.91999999999996</v>
      </c>
      <c r="C997">
        <v>29605470</v>
      </c>
      <c r="D997">
        <v>530.14</v>
      </c>
      <c r="E997">
        <v>532.1</v>
      </c>
      <c r="F997">
        <v>522.19000000000005</v>
      </c>
    </row>
    <row r="998" spans="1:6" x14ac:dyDescent="0.45">
      <c r="A998" s="1">
        <v>45698</v>
      </c>
      <c r="B998">
        <v>529.25</v>
      </c>
      <c r="C998">
        <v>20852780</v>
      </c>
      <c r="D998">
        <v>527.22</v>
      </c>
      <c r="E998">
        <v>530.35709999999995</v>
      </c>
      <c r="F998">
        <v>526.75</v>
      </c>
    </row>
    <row r="999" spans="1:6" x14ac:dyDescent="0.45">
      <c r="A999" s="1">
        <v>45699</v>
      </c>
      <c r="B999">
        <v>527.99</v>
      </c>
      <c r="C999">
        <v>19325500</v>
      </c>
      <c r="D999">
        <v>525.96</v>
      </c>
      <c r="E999">
        <v>529.91999999999996</v>
      </c>
      <c r="F999">
        <v>525.83000000000004</v>
      </c>
    </row>
    <row r="1000" spans="1:6" x14ac:dyDescent="0.45">
      <c r="A1000" s="1">
        <v>45700</v>
      </c>
      <c r="B1000">
        <v>528.29999999999995</v>
      </c>
      <c r="C1000">
        <v>25009360</v>
      </c>
      <c r="D1000">
        <v>522.29999999999995</v>
      </c>
      <c r="E1000">
        <v>529.19000000000005</v>
      </c>
      <c r="F1000">
        <v>521.95000000000005</v>
      </c>
    </row>
    <row r="1001" spans="1:6" x14ac:dyDescent="0.45">
      <c r="A1001" s="1">
        <v>45701</v>
      </c>
      <c r="B1001">
        <v>535.9</v>
      </c>
      <c r="C1001">
        <v>28714800</v>
      </c>
      <c r="D1001">
        <v>529.98</v>
      </c>
      <c r="E1001">
        <v>536.22</v>
      </c>
      <c r="F1001">
        <v>529.19000000000005</v>
      </c>
    </row>
    <row r="1002" spans="1:6" x14ac:dyDescent="0.45">
      <c r="A1002" s="1">
        <v>45702</v>
      </c>
      <c r="B1002">
        <v>538.15</v>
      </c>
      <c r="C1002">
        <v>17862570</v>
      </c>
      <c r="D1002">
        <v>536.005</v>
      </c>
      <c r="E1002">
        <v>538.84</v>
      </c>
      <c r="F1002">
        <v>535.66999999999996</v>
      </c>
    </row>
    <row r="1003" spans="1:6" x14ac:dyDescent="0.45">
      <c r="A1003" s="1">
        <v>45706</v>
      </c>
      <c r="B1003">
        <v>539.37</v>
      </c>
      <c r="C1003">
        <v>20565030</v>
      </c>
      <c r="D1003">
        <v>539.73</v>
      </c>
      <c r="E1003">
        <v>540</v>
      </c>
      <c r="F1003">
        <v>536.04</v>
      </c>
    </row>
    <row r="1004" spans="1:6" x14ac:dyDescent="0.45">
      <c r="A1004" s="1">
        <v>45707</v>
      </c>
      <c r="B1004">
        <v>539.52</v>
      </c>
      <c r="C1004">
        <v>19666860</v>
      </c>
      <c r="D1004">
        <v>538.57000000000005</v>
      </c>
      <c r="E1004">
        <v>540.80999999999995</v>
      </c>
      <c r="F1004">
        <v>536.46</v>
      </c>
    </row>
    <row r="1005" spans="1:6" x14ac:dyDescent="0.45">
      <c r="A1005" s="1">
        <v>45708</v>
      </c>
      <c r="B1005">
        <v>537.23</v>
      </c>
      <c r="C1005">
        <v>26550750</v>
      </c>
      <c r="D1005">
        <v>538.73</v>
      </c>
      <c r="E1005">
        <v>539.1</v>
      </c>
      <c r="F1005">
        <v>532.46</v>
      </c>
    </row>
    <row r="1006" spans="1:6" x14ac:dyDescent="0.45">
      <c r="A1006" s="1">
        <v>45709</v>
      </c>
      <c r="B1006">
        <v>526.08000000000004</v>
      </c>
      <c r="C1006">
        <v>47093750</v>
      </c>
      <c r="D1006">
        <v>538.38</v>
      </c>
      <c r="E1006">
        <v>538.4</v>
      </c>
      <c r="F1006">
        <v>525.71</v>
      </c>
    </row>
    <row r="1007" spans="1:6" x14ac:dyDescent="0.45">
      <c r="A1007" s="1">
        <v>45712</v>
      </c>
      <c r="B1007">
        <v>519.87</v>
      </c>
      <c r="C1007">
        <v>39268390</v>
      </c>
      <c r="D1007">
        <v>527.88</v>
      </c>
      <c r="E1007">
        <v>529.06899999999996</v>
      </c>
      <c r="F1007">
        <v>519.53</v>
      </c>
    </row>
    <row r="1008" spans="1:6" x14ac:dyDescent="0.45">
      <c r="A1008" s="1">
        <v>45713</v>
      </c>
      <c r="B1008">
        <v>513.32000000000005</v>
      </c>
      <c r="C1008">
        <v>48940030</v>
      </c>
      <c r="D1008">
        <v>519.24</v>
      </c>
      <c r="E1008">
        <v>519.32000000000005</v>
      </c>
      <c r="F1008">
        <v>509.44</v>
      </c>
    </row>
    <row r="1009" spans="1:6" x14ac:dyDescent="0.45">
      <c r="A1009" s="1">
        <v>45714</v>
      </c>
      <c r="B1009">
        <v>514.55999999999995</v>
      </c>
      <c r="C1009">
        <v>34457620</v>
      </c>
      <c r="D1009">
        <v>515.53</v>
      </c>
      <c r="E1009">
        <v>519.66</v>
      </c>
      <c r="F1009">
        <v>511.37</v>
      </c>
    </row>
    <row r="1010" spans="1:6" x14ac:dyDescent="0.45">
      <c r="A1010" s="1">
        <v>45715</v>
      </c>
      <c r="B1010">
        <v>500.27</v>
      </c>
      <c r="C1010">
        <v>52447970</v>
      </c>
      <c r="D1010">
        <v>518.13</v>
      </c>
      <c r="E1010">
        <v>519.06989999999996</v>
      </c>
      <c r="F1010">
        <v>500.05</v>
      </c>
    </row>
    <row r="1011" spans="1:6" x14ac:dyDescent="0.45">
      <c r="A1011" s="1">
        <v>45716</v>
      </c>
      <c r="B1011">
        <v>508.17</v>
      </c>
      <c r="C1011">
        <v>47654040</v>
      </c>
      <c r="D1011">
        <v>500.13</v>
      </c>
      <c r="E1011">
        <v>508.78</v>
      </c>
      <c r="F1011">
        <v>496.93</v>
      </c>
    </row>
    <row r="1012" spans="1:6" x14ac:dyDescent="0.45">
      <c r="A1012" s="1">
        <v>45719</v>
      </c>
      <c r="B1012">
        <v>497.05</v>
      </c>
      <c r="C1012">
        <v>44587200</v>
      </c>
      <c r="D1012">
        <v>511.52</v>
      </c>
      <c r="E1012">
        <v>513.04</v>
      </c>
      <c r="F1012">
        <v>493.58</v>
      </c>
    </row>
    <row r="1013" spans="1:6" x14ac:dyDescent="0.45">
      <c r="A1013" s="1">
        <v>45720</v>
      </c>
      <c r="B1013">
        <v>495.55</v>
      </c>
      <c r="C1013">
        <v>67875400</v>
      </c>
      <c r="D1013">
        <v>494.18</v>
      </c>
      <c r="E1013">
        <v>503.74</v>
      </c>
      <c r="F1013">
        <v>487.73500000000001</v>
      </c>
    </row>
    <row r="1014" spans="1:6" x14ac:dyDescent="0.45">
      <c r="A1014" s="1">
        <v>45721</v>
      </c>
      <c r="B1014">
        <v>502.01</v>
      </c>
      <c r="C1014">
        <v>46323730</v>
      </c>
      <c r="D1014">
        <v>496.2</v>
      </c>
      <c r="E1014">
        <v>503.63</v>
      </c>
      <c r="F1014">
        <v>491.26</v>
      </c>
    </row>
    <row r="1015" spans="1:6" x14ac:dyDescent="0.45">
      <c r="A1015" s="1">
        <v>45722</v>
      </c>
      <c r="B1015">
        <v>488.2</v>
      </c>
      <c r="C1015">
        <v>57574330</v>
      </c>
      <c r="D1015">
        <v>493.69</v>
      </c>
      <c r="E1015">
        <v>498.58</v>
      </c>
      <c r="F1015">
        <v>486.2</v>
      </c>
    </row>
    <row r="1016" spans="1:6" x14ac:dyDescent="0.45">
      <c r="A1016" s="1">
        <v>45723</v>
      </c>
      <c r="B1016">
        <v>491.79</v>
      </c>
      <c r="C1016">
        <v>54714730</v>
      </c>
      <c r="D1016">
        <v>487.16</v>
      </c>
      <c r="E1016">
        <v>493.28</v>
      </c>
      <c r="F1016">
        <v>480.53</v>
      </c>
    </row>
    <row r="1017" spans="1:6" x14ac:dyDescent="0.45">
      <c r="A1017" s="1">
        <v>45726</v>
      </c>
      <c r="B1017">
        <v>472.73</v>
      </c>
      <c r="C1017">
        <v>76668030</v>
      </c>
      <c r="D1017">
        <v>483.45</v>
      </c>
      <c r="E1017">
        <v>483.97</v>
      </c>
      <c r="F1017">
        <v>468.66</v>
      </c>
    </row>
    <row r="1018" spans="1:6" x14ac:dyDescent="0.45">
      <c r="A1018" s="1">
        <v>45727</v>
      </c>
      <c r="B1018">
        <v>471.6</v>
      </c>
      <c r="C1018">
        <v>68760770</v>
      </c>
      <c r="D1018">
        <v>472.35</v>
      </c>
      <c r="E1018">
        <v>478.80500000000001</v>
      </c>
      <c r="F1018">
        <v>467.01</v>
      </c>
    </row>
    <row r="1019" spans="1:6" x14ac:dyDescent="0.45">
      <c r="A1019" s="1">
        <v>45728</v>
      </c>
      <c r="B1019">
        <v>476.92</v>
      </c>
      <c r="C1019">
        <v>46971080</v>
      </c>
      <c r="D1019">
        <v>479.16</v>
      </c>
      <c r="E1019">
        <v>481.06</v>
      </c>
      <c r="F1019">
        <v>471.79</v>
      </c>
    </row>
    <row r="1020" spans="1:6" x14ac:dyDescent="0.45">
      <c r="A1020" s="1">
        <v>45729</v>
      </c>
      <c r="B1020">
        <v>468.34</v>
      </c>
      <c r="C1020">
        <v>46563350</v>
      </c>
      <c r="D1020">
        <v>476.25</v>
      </c>
      <c r="E1020">
        <v>476.2801</v>
      </c>
      <c r="F1020">
        <v>466.43</v>
      </c>
    </row>
    <row r="1021" spans="1:6" x14ac:dyDescent="0.45">
      <c r="A1021" s="1">
        <v>45730</v>
      </c>
      <c r="B1021">
        <v>479.66</v>
      </c>
      <c r="C1021">
        <v>43563010</v>
      </c>
      <c r="D1021">
        <v>473.73</v>
      </c>
      <c r="E1021">
        <v>480.56</v>
      </c>
      <c r="F1021">
        <v>473.12</v>
      </c>
    </row>
    <row r="1022" spans="1:6" x14ac:dyDescent="0.45">
      <c r="A1022" s="1">
        <v>45733</v>
      </c>
      <c r="B1022">
        <v>482.77</v>
      </c>
      <c r="C1022">
        <v>41744350</v>
      </c>
      <c r="D1022">
        <v>479.61</v>
      </c>
      <c r="E1022">
        <v>485.84</v>
      </c>
      <c r="F1022">
        <v>477.8</v>
      </c>
    </row>
    <row r="1023" spans="1:6" x14ac:dyDescent="0.45">
      <c r="A1023" s="1">
        <v>45734</v>
      </c>
      <c r="B1023">
        <v>474.54</v>
      </c>
      <c r="C1023">
        <v>39072270</v>
      </c>
      <c r="D1023">
        <v>479.41</v>
      </c>
      <c r="E1023">
        <v>479.61</v>
      </c>
      <c r="F1023">
        <v>472.41</v>
      </c>
    </row>
    <row r="1024" spans="1:6" x14ac:dyDescent="0.45">
      <c r="A1024" s="1">
        <v>45735</v>
      </c>
      <c r="B1024">
        <v>480.89</v>
      </c>
      <c r="C1024">
        <v>40430330</v>
      </c>
      <c r="D1024">
        <v>476.81</v>
      </c>
      <c r="E1024">
        <v>485.33</v>
      </c>
      <c r="F1024">
        <v>474.87</v>
      </c>
    </row>
    <row r="1025" spans="1:6" x14ac:dyDescent="0.45">
      <c r="A1025" s="1">
        <v>45736</v>
      </c>
      <c r="B1025">
        <v>479.26</v>
      </c>
      <c r="C1025">
        <v>36780550</v>
      </c>
      <c r="D1025">
        <v>476.88</v>
      </c>
      <c r="E1025">
        <v>484.55</v>
      </c>
      <c r="F1025">
        <v>476.18</v>
      </c>
    </row>
    <row r="1026" spans="1:6" x14ac:dyDescent="0.45">
      <c r="A1026" s="1">
        <v>45737</v>
      </c>
      <c r="B1026">
        <v>480.84</v>
      </c>
      <c r="C1026">
        <v>42234870</v>
      </c>
      <c r="D1026">
        <v>474.08</v>
      </c>
      <c r="E1026">
        <v>481.61</v>
      </c>
      <c r="F1026">
        <v>472.90499999999997</v>
      </c>
    </row>
    <row r="1027" spans="1:6" x14ac:dyDescent="0.45">
      <c r="A1027" s="1">
        <v>45740</v>
      </c>
      <c r="B1027">
        <v>490.66</v>
      </c>
      <c r="C1027">
        <v>34567190</v>
      </c>
      <c r="D1027">
        <v>487.74</v>
      </c>
      <c r="E1027">
        <v>491.51</v>
      </c>
      <c r="F1027">
        <v>484.4</v>
      </c>
    </row>
    <row r="1028" spans="1:6" x14ac:dyDescent="0.45">
      <c r="A1028" s="1">
        <v>45741</v>
      </c>
      <c r="B1028">
        <v>493.46</v>
      </c>
      <c r="C1028">
        <v>26035240</v>
      </c>
      <c r="D1028">
        <v>491.39</v>
      </c>
      <c r="E1028">
        <v>493.62</v>
      </c>
      <c r="F1028">
        <v>490.42</v>
      </c>
    </row>
    <row r="1029" spans="1:6" x14ac:dyDescent="0.45">
      <c r="A1029" s="1">
        <v>45742</v>
      </c>
      <c r="B1029">
        <v>484.38</v>
      </c>
      <c r="C1029">
        <v>35043360</v>
      </c>
      <c r="D1029">
        <v>492.3</v>
      </c>
      <c r="E1029">
        <v>493.16</v>
      </c>
      <c r="F1029">
        <v>482.82</v>
      </c>
    </row>
    <row r="1030" spans="1:6" x14ac:dyDescent="0.45">
      <c r="A1030" s="1">
        <v>45743</v>
      </c>
      <c r="B1030">
        <v>481.62</v>
      </c>
      <c r="C1030">
        <v>33469820</v>
      </c>
      <c r="D1030">
        <v>482.41</v>
      </c>
      <c r="E1030">
        <v>486.57990000000001</v>
      </c>
      <c r="F1030">
        <v>480.25</v>
      </c>
    </row>
    <row r="1031" spans="1:6" x14ac:dyDescent="0.45">
      <c r="A1031" s="1">
        <v>45744</v>
      </c>
      <c r="B1031">
        <v>468.94</v>
      </c>
      <c r="C1031">
        <v>46363800</v>
      </c>
      <c r="D1031">
        <v>479.81</v>
      </c>
      <c r="E1031">
        <v>480.52</v>
      </c>
      <c r="F1031">
        <v>468.05</v>
      </c>
    </row>
    <row r="1032" spans="1:6" x14ac:dyDescent="0.45">
      <c r="A1032" s="1">
        <v>45747</v>
      </c>
      <c r="B1032">
        <v>468.92</v>
      </c>
      <c r="C1032">
        <v>53000300</v>
      </c>
      <c r="D1032">
        <v>461.92</v>
      </c>
      <c r="E1032">
        <v>469.86</v>
      </c>
      <c r="F1032">
        <v>457.33</v>
      </c>
    </row>
    <row r="1033" spans="1:6" x14ac:dyDescent="0.45">
      <c r="A1033" s="1">
        <v>45748</v>
      </c>
      <c r="B1033">
        <v>472.7</v>
      </c>
      <c r="C1033">
        <v>41156230</v>
      </c>
      <c r="D1033">
        <v>467.3</v>
      </c>
      <c r="E1033">
        <v>473.63</v>
      </c>
      <c r="F1033">
        <v>464.42</v>
      </c>
    </row>
    <row r="1034" spans="1:6" x14ac:dyDescent="0.45">
      <c r="A1034" s="1">
        <v>45749</v>
      </c>
      <c r="B1034">
        <v>476.15</v>
      </c>
      <c r="C1034">
        <v>49894490</v>
      </c>
      <c r="D1034">
        <v>466.12</v>
      </c>
      <c r="E1034">
        <v>479.56</v>
      </c>
      <c r="F1034">
        <v>465.86</v>
      </c>
    </row>
    <row r="1035" spans="1:6" x14ac:dyDescent="0.45">
      <c r="A1035" s="1">
        <v>45750</v>
      </c>
      <c r="B1035">
        <v>450.66</v>
      </c>
      <c r="C1035">
        <v>70456340</v>
      </c>
      <c r="D1035">
        <v>456.44</v>
      </c>
      <c r="E1035">
        <v>460.07</v>
      </c>
      <c r="F1035">
        <v>450.14</v>
      </c>
    </row>
    <row r="1036" spans="1:6" x14ac:dyDescent="0.45">
      <c r="A1036" s="1">
        <v>45751</v>
      </c>
      <c r="B1036">
        <v>422.67</v>
      </c>
      <c r="C1036">
        <v>117088400</v>
      </c>
      <c r="D1036">
        <v>438.14</v>
      </c>
      <c r="E1036">
        <v>440.37</v>
      </c>
      <c r="F1036">
        <v>422.67</v>
      </c>
    </row>
    <row r="1037" spans="1:6" x14ac:dyDescent="0.45">
      <c r="A1037" s="1">
        <v>45754</v>
      </c>
      <c r="B1037">
        <v>423.69</v>
      </c>
      <c r="C1037">
        <v>161557000</v>
      </c>
      <c r="D1037">
        <v>408.66</v>
      </c>
      <c r="E1037">
        <v>443.14</v>
      </c>
      <c r="F1037">
        <v>402.39</v>
      </c>
    </row>
    <row r="1038" spans="1:6" x14ac:dyDescent="0.45">
      <c r="A1038" s="1">
        <v>45755</v>
      </c>
      <c r="B1038">
        <v>416.06</v>
      </c>
      <c r="C1038">
        <v>101248100</v>
      </c>
      <c r="D1038">
        <v>438.16</v>
      </c>
      <c r="E1038">
        <v>443.13839999999999</v>
      </c>
      <c r="F1038">
        <v>409.79</v>
      </c>
    </row>
    <row r="1039" spans="1:6" x14ac:dyDescent="0.45">
      <c r="A1039" s="1">
        <v>45756</v>
      </c>
      <c r="B1039">
        <v>466</v>
      </c>
      <c r="C1039">
        <v>142876900</v>
      </c>
      <c r="D1039">
        <v>415.57</v>
      </c>
      <c r="E1039">
        <v>467.83</v>
      </c>
      <c r="F1039">
        <v>415.43</v>
      </c>
    </row>
    <row r="1040" spans="1:6" x14ac:dyDescent="0.45">
      <c r="A1040" s="1">
        <v>45757</v>
      </c>
      <c r="B1040">
        <v>446.18</v>
      </c>
      <c r="C1040">
        <v>108384100</v>
      </c>
      <c r="D1040">
        <v>453.56</v>
      </c>
      <c r="E1040">
        <v>455.59</v>
      </c>
      <c r="F1040">
        <v>432.63</v>
      </c>
    </row>
    <row r="1041" spans="1:6" x14ac:dyDescent="0.45">
      <c r="A1041" s="1">
        <v>45758</v>
      </c>
      <c r="B1041">
        <v>454.4</v>
      </c>
      <c r="C1041">
        <v>52483780</v>
      </c>
      <c r="D1041">
        <v>444.65</v>
      </c>
      <c r="E1041">
        <v>455.79</v>
      </c>
      <c r="F1041">
        <v>441.33</v>
      </c>
    </row>
    <row r="1042" spans="1:6" x14ac:dyDescent="0.45">
      <c r="A1042" s="1">
        <v>45761</v>
      </c>
      <c r="B1042">
        <v>457.48</v>
      </c>
      <c r="C1042">
        <v>43941180</v>
      </c>
      <c r="D1042">
        <v>464.46</v>
      </c>
      <c r="E1042">
        <v>465.05</v>
      </c>
      <c r="F1042">
        <v>452.63</v>
      </c>
    </row>
    <row r="1043" spans="1:6" x14ac:dyDescent="0.45">
      <c r="A1043" s="1">
        <v>45762</v>
      </c>
      <c r="B1043">
        <v>457.99</v>
      </c>
      <c r="C1043">
        <v>35404210</v>
      </c>
      <c r="D1043">
        <v>458.54</v>
      </c>
      <c r="E1043">
        <v>462.38</v>
      </c>
      <c r="F1043">
        <v>456.15</v>
      </c>
    </row>
    <row r="1044" spans="1:6" x14ac:dyDescent="0.45">
      <c r="A1044" s="1">
        <v>45763</v>
      </c>
      <c r="B1044">
        <v>444.18</v>
      </c>
      <c r="C1044">
        <v>48980550</v>
      </c>
      <c r="D1044">
        <v>449.03</v>
      </c>
      <c r="E1044">
        <v>452.62</v>
      </c>
      <c r="F1044">
        <v>437.76</v>
      </c>
    </row>
    <row r="1045" spans="1:6" x14ac:dyDescent="0.45">
      <c r="A1045" s="1">
        <v>45764</v>
      </c>
      <c r="B1045">
        <v>444.1</v>
      </c>
      <c r="C1045">
        <v>44837050</v>
      </c>
      <c r="D1045">
        <v>447.17</v>
      </c>
      <c r="E1045">
        <v>447.75</v>
      </c>
      <c r="F1045">
        <v>441.36</v>
      </c>
    </row>
    <row r="1046" spans="1:6" x14ac:dyDescent="0.45">
      <c r="A1046" s="1">
        <v>45768</v>
      </c>
      <c r="B1046">
        <v>433.11</v>
      </c>
      <c r="C1046">
        <v>44149310</v>
      </c>
      <c r="D1046">
        <v>438.23</v>
      </c>
      <c r="E1046">
        <v>439.08</v>
      </c>
      <c r="F1046">
        <v>427.93</v>
      </c>
    </row>
    <row r="1047" spans="1:6" x14ac:dyDescent="0.45">
      <c r="A1047" s="1">
        <v>45769</v>
      </c>
      <c r="B1047">
        <v>444.48</v>
      </c>
      <c r="C1047">
        <v>52304390</v>
      </c>
      <c r="D1047">
        <v>438.82</v>
      </c>
      <c r="E1047">
        <v>447.58</v>
      </c>
      <c r="F1047">
        <v>437.62</v>
      </c>
    </row>
    <row r="1048" spans="1:6" x14ac:dyDescent="0.45">
      <c r="A1048" s="1">
        <v>45770</v>
      </c>
      <c r="B1048">
        <v>454.56</v>
      </c>
      <c r="C1048">
        <v>55801140</v>
      </c>
      <c r="D1048">
        <v>458.17</v>
      </c>
      <c r="E1048">
        <v>463.38</v>
      </c>
      <c r="F1048">
        <v>452.88</v>
      </c>
    </row>
    <row r="1049" spans="1:6" x14ac:dyDescent="0.45">
      <c r="A1049" s="1">
        <v>45771</v>
      </c>
      <c r="B1049">
        <v>467.35</v>
      </c>
      <c r="C1049">
        <v>45956140</v>
      </c>
      <c r="D1049">
        <v>456.48</v>
      </c>
      <c r="E1049">
        <v>467.66</v>
      </c>
      <c r="F1049">
        <v>455.83</v>
      </c>
    </row>
    <row r="1050" spans="1:6" x14ac:dyDescent="0.45">
      <c r="A1050" s="1">
        <v>45772</v>
      </c>
      <c r="B1050">
        <v>472.56</v>
      </c>
      <c r="C1050">
        <v>38697060</v>
      </c>
      <c r="D1050">
        <v>466.97</v>
      </c>
      <c r="E1050">
        <v>473.09</v>
      </c>
      <c r="F1050">
        <v>465.39</v>
      </c>
    </row>
    <row r="1051" spans="1:6" x14ac:dyDescent="0.45">
      <c r="A1051" s="1">
        <v>45775</v>
      </c>
      <c r="B1051">
        <v>472.41</v>
      </c>
      <c r="C1051">
        <v>33550780</v>
      </c>
      <c r="D1051">
        <v>473.03</v>
      </c>
      <c r="E1051">
        <v>474.80799999999999</v>
      </c>
      <c r="F1051">
        <v>466.03</v>
      </c>
    </row>
    <row r="1052" spans="1:6" x14ac:dyDescent="0.45">
      <c r="A1052" s="1">
        <v>45776</v>
      </c>
      <c r="B1052">
        <v>475.53</v>
      </c>
      <c r="C1052">
        <v>30613120</v>
      </c>
      <c r="D1052">
        <v>470.17</v>
      </c>
      <c r="E1052">
        <v>476.42430000000002</v>
      </c>
      <c r="F1052">
        <v>469.59</v>
      </c>
    </row>
    <row r="1053" spans="1:6" x14ac:dyDescent="0.45">
      <c r="A1053" s="1">
        <v>45777</v>
      </c>
      <c r="B1053">
        <v>475.47</v>
      </c>
      <c r="C1053">
        <v>46810610</v>
      </c>
      <c r="D1053">
        <v>467.13</v>
      </c>
      <c r="E1053">
        <v>477.2</v>
      </c>
      <c r="F1053">
        <v>462.43</v>
      </c>
    </row>
    <row r="1054" spans="1:6" x14ac:dyDescent="0.45">
      <c r="A1054" s="1">
        <v>45778</v>
      </c>
      <c r="B1054">
        <v>481.68</v>
      </c>
      <c r="C1054">
        <v>43316540</v>
      </c>
      <c r="D1054">
        <v>483.41</v>
      </c>
      <c r="E1054">
        <v>487.18</v>
      </c>
      <c r="F1054">
        <v>480.74</v>
      </c>
    </row>
    <row r="1055" spans="1:6" x14ac:dyDescent="0.45">
      <c r="A1055" s="1">
        <v>45779</v>
      </c>
      <c r="B1055">
        <v>488.83</v>
      </c>
      <c r="C1055">
        <v>39218080</v>
      </c>
      <c r="D1055">
        <v>486.54</v>
      </c>
      <c r="E1055">
        <v>490.91</v>
      </c>
      <c r="F1055">
        <v>484.83</v>
      </c>
    </row>
    <row r="1056" spans="1:6" x14ac:dyDescent="0.45">
      <c r="A1056" s="1">
        <v>45782</v>
      </c>
      <c r="B1056">
        <v>485.93</v>
      </c>
      <c r="C1056">
        <v>28309490</v>
      </c>
      <c r="D1056">
        <v>484.6</v>
      </c>
      <c r="E1056">
        <v>489.03</v>
      </c>
      <c r="F1056">
        <v>484.1</v>
      </c>
    </row>
    <row r="1057" spans="1:6" x14ac:dyDescent="0.45">
      <c r="A1057" s="1">
        <v>45783</v>
      </c>
      <c r="B1057">
        <v>481.41</v>
      </c>
      <c r="C1057">
        <v>32786310</v>
      </c>
      <c r="D1057">
        <v>479.56</v>
      </c>
      <c r="E1057">
        <v>485.05</v>
      </c>
      <c r="F1057">
        <v>478.19</v>
      </c>
    </row>
    <row r="1058" spans="1:6" x14ac:dyDescent="0.45">
      <c r="A1058" s="1">
        <v>45784</v>
      </c>
      <c r="B1058">
        <v>483.3</v>
      </c>
      <c r="C1058">
        <v>38109860</v>
      </c>
      <c r="D1058">
        <v>482.08</v>
      </c>
      <c r="E1058">
        <v>485.8</v>
      </c>
      <c r="F1058">
        <v>476.78199999999998</v>
      </c>
    </row>
    <row r="1059" spans="1:6" x14ac:dyDescent="0.45">
      <c r="A1059" s="1">
        <v>45785</v>
      </c>
      <c r="B1059">
        <v>488.29</v>
      </c>
      <c r="C1059">
        <v>39577590</v>
      </c>
      <c r="D1059">
        <v>488.53</v>
      </c>
      <c r="E1059">
        <v>492.7</v>
      </c>
      <c r="F1059">
        <v>484.17</v>
      </c>
    </row>
    <row r="1060" spans="1:6" x14ac:dyDescent="0.45">
      <c r="A1060" s="1">
        <v>45786</v>
      </c>
      <c r="B1060">
        <v>487.97</v>
      </c>
      <c r="C1060">
        <v>27767420</v>
      </c>
      <c r="D1060">
        <v>490.21</v>
      </c>
      <c r="E1060">
        <v>491.54</v>
      </c>
      <c r="F1060">
        <v>486.19499999999999</v>
      </c>
    </row>
    <row r="1061" spans="1:6" x14ac:dyDescent="0.45">
      <c r="A1061" s="1">
        <v>45789</v>
      </c>
      <c r="B1061">
        <v>507.85</v>
      </c>
      <c r="C1061">
        <v>45090620</v>
      </c>
      <c r="D1061">
        <v>506.99</v>
      </c>
      <c r="E1061">
        <v>507.89</v>
      </c>
      <c r="F1061">
        <v>501.48</v>
      </c>
    </row>
    <row r="1062" spans="1:6" x14ac:dyDescent="0.45">
      <c r="A1062" s="1">
        <v>45790</v>
      </c>
      <c r="B1062">
        <v>515.59</v>
      </c>
      <c r="C1062">
        <v>53269570</v>
      </c>
      <c r="D1062">
        <v>509.16</v>
      </c>
      <c r="E1062">
        <v>517.39</v>
      </c>
      <c r="F1062">
        <v>508.42</v>
      </c>
    </row>
    <row r="1063" spans="1:6" x14ac:dyDescent="0.45">
      <c r="A1063" s="1">
        <v>45791</v>
      </c>
      <c r="B1063">
        <v>518.67999999999995</v>
      </c>
      <c r="C1063">
        <v>47014520</v>
      </c>
      <c r="D1063">
        <v>516.77</v>
      </c>
      <c r="E1063">
        <v>519.22789999999998</v>
      </c>
      <c r="F1063">
        <v>515.75</v>
      </c>
    </row>
    <row r="1064" spans="1:6" x14ac:dyDescent="0.45">
      <c r="A1064" s="1">
        <v>45792</v>
      </c>
      <c r="B1064">
        <v>519.25</v>
      </c>
      <c r="C1064">
        <v>50153280</v>
      </c>
      <c r="D1064">
        <v>516.52</v>
      </c>
      <c r="E1064">
        <v>521.92999999999995</v>
      </c>
      <c r="F1064">
        <v>515.16999999999996</v>
      </c>
    </row>
    <row r="1065" spans="1:6" x14ac:dyDescent="0.45">
      <c r="A1065" s="1">
        <v>45793</v>
      </c>
      <c r="B1065">
        <v>521.51</v>
      </c>
      <c r="C1065">
        <v>48394600</v>
      </c>
      <c r="D1065">
        <v>520.66</v>
      </c>
      <c r="E1065">
        <v>521.70000000000005</v>
      </c>
      <c r="F1065">
        <v>517.1</v>
      </c>
    </row>
    <row r="1066" spans="1:6" x14ac:dyDescent="0.45">
      <c r="A1066" s="1">
        <v>45796</v>
      </c>
      <c r="B1066">
        <v>522.01</v>
      </c>
      <c r="C1066">
        <v>52536150</v>
      </c>
      <c r="D1066">
        <v>514.24</v>
      </c>
      <c r="E1066">
        <v>522.53</v>
      </c>
      <c r="F1066">
        <v>514.24</v>
      </c>
    </row>
    <row r="1067" spans="1:6" x14ac:dyDescent="0.45">
      <c r="A1067" s="1">
        <v>45797</v>
      </c>
      <c r="B1067">
        <v>520.27</v>
      </c>
      <c r="C1067">
        <v>42517560</v>
      </c>
      <c r="D1067">
        <v>519.47</v>
      </c>
      <c r="E1067">
        <v>520.92999999999995</v>
      </c>
      <c r="F1067">
        <v>516.66</v>
      </c>
    </row>
    <row r="1068" spans="1:6" x14ac:dyDescent="0.45">
      <c r="A1068" s="1">
        <v>45798</v>
      </c>
      <c r="B1068">
        <v>513.04</v>
      </c>
      <c r="C1068">
        <v>71292830</v>
      </c>
      <c r="D1068">
        <v>516.27</v>
      </c>
      <c r="E1068">
        <v>523</v>
      </c>
      <c r="F1068">
        <v>511.24</v>
      </c>
    </row>
    <row r="1069" spans="1:6" x14ac:dyDescent="0.45">
      <c r="A1069" s="1">
        <v>45799</v>
      </c>
      <c r="B1069">
        <v>514</v>
      </c>
      <c r="C1069">
        <v>55607170</v>
      </c>
      <c r="D1069">
        <v>513.66</v>
      </c>
      <c r="E1069">
        <v>517.71</v>
      </c>
      <c r="F1069">
        <v>512.29999999999995</v>
      </c>
    </row>
    <row r="1070" spans="1:6" x14ac:dyDescent="0.45">
      <c r="A1070" s="1">
        <v>45800</v>
      </c>
      <c r="B1070">
        <v>509.24</v>
      </c>
      <c r="C1070">
        <v>58368080</v>
      </c>
      <c r="D1070">
        <v>506.18</v>
      </c>
      <c r="E1070">
        <v>511.84</v>
      </c>
      <c r="F1070">
        <v>505.58</v>
      </c>
    </row>
    <row r="1071" spans="1:6" x14ac:dyDescent="0.45">
      <c r="A1071" s="1">
        <v>45804</v>
      </c>
      <c r="B1071">
        <v>521.22</v>
      </c>
      <c r="C1071">
        <v>47226320</v>
      </c>
      <c r="D1071">
        <v>516.15</v>
      </c>
      <c r="E1071">
        <v>521.71</v>
      </c>
      <c r="F1071">
        <v>514.59</v>
      </c>
    </row>
    <row r="1072" spans="1:6" x14ac:dyDescent="0.45">
      <c r="A1072" s="1">
        <v>45805</v>
      </c>
      <c r="B1072">
        <v>518.91</v>
      </c>
      <c r="C1072">
        <v>46637180</v>
      </c>
      <c r="D1072">
        <v>522.17999999999995</v>
      </c>
      <c r="E1072">
        <v>523.67999999999995</v>
      </c>
      <c r="F1072">
        <v>518.39</v>
      </c>
    </row>
    <row r="1073" spans="1:6" x14ac:dyDescent="0.45">
      <c r="A1073" s="1">
        <v>45806</v>
      </c>
      <c r="B1073">
        <v>519.92999999999995</v>
      </c>
      <c r="C1073">
        <v>58724070</v>
      </c>
      <c r="D1073">
        <v>526.33000000000004</v>
      </c>
      <c r="E1073">
        <v>526.48</v>
      </c>
      <c r="F1073">
        <v>517.32000000000005</v>
      </c>
    </row>
    <row r="1074" spans="1:6" x14ac:dyDescent="0.45">
      <c r="A1074" s="1">
        <v>45807</v>
      </c>
      <c r="B1074">
        <v>519.11</v>
      </c>
      <c r="C1074">
        <v>67662840</v>
      </c>
      <c r="D1074">
        <v>519.44000000000005</v>
      </c>
      <c r="E1074">
        <v>520.67999999999995</v>
      </c>
      <c r="F1074">
        <v>511.93</v>
      </c>
    </row>
    <row r="1075" spans="1:6" x14ac:dyDescent="0.45">
      <c r="A1075" s="1">
        <v>45810</v>
      </c>
      <c r="B1075">
        <v>523.21</v>
      </c>
      <c r="C1075">
        <v>44762820</v>
      </c>
      <c r="D1075">
        <v>517.24</v>
      </c>
      <c r="E1075">
        <v>523.45000000000005</v>
      </c>
      <c r="F1075">
        <v>515.97</v>
      </c>
    </row>
    <row r="1076" spans="1:6" x14ac:dyDescent="0.45">
      <c r="A1076" s="1">
        <v>45811</v>
      </c>
      <c r="B1076">
        <v>527.29999999999995</v>
      </c>
      <c r="C1076">
        <v>44070330</v>
      </c>
      <c r="D1076">
        <v>523.55999999999995</v>
      </c>
      <c r="E1076">
        <v>528.74</v>
      </c>
      <c r="F1076">
        <v>522.69000000000005</v>
      </c>
    </row>
    <row r="1077" spans="1:6" x14ac:dyDescent="0.45">
      <c r="A1077" s="1">
        <v>45812</v>
      </c>
      <c r="B1077">
        <v>528.77</v>
      </c>
      <c r="C1077">
        <v>41359320</v>
      </c>
      <c r="D1077">
        <v>528.01</v>
      </c>
      <c r="E1077">
        <v>529.84</v>
      </c>
      <c r="F1077">
        <v>525.96939999999995</v>
      </c>
    </row>
    <row r="1078" spans="1:6" x14ac:dyDescent="0.45">
      <c r="A1078" s="1">
        <v>45813</v>
      </c>
      <c r="B1078">
        <v>524.79</v>
      </c>
      <c r="C1078">
        <v>61286620</v>
      </c>
      <c r="D1078">
        <v>530.17999999999995</v>
      </c>
      <c r="E1078">
        <v>533.04999999999995</v>
      </c>
      <c r="F1078">
        <v>522.66</v>
      </c>
    </row>
    <row r="1079" spans="1:6" x14ac:dyDescent="0.45">
      <c r="A1079" s="1">
        <v>45814</v>
      </c>
      <c r="B1079">
        <v>529.91999999999996</v>
      </c>
      <c r="C1079">
        <v>42467020</v>
      </c>
      <c r="D1079">
        <v>530</v>
      </c>
      <c r="E1079">
        <v>531.79999999999995</v>
      </c>
      <c r="F1079">
        <v>528.21</v>
      </c>
    </row>
    <row r="1080" spans="1:6" x14ac:dyDescent="0.45">
      <c r="A1080" s="1">
        <v>45817</v>
      </c>
      <c r="B1080">
        <v>530.70000000000005</v>
      </c>
      <c r="C1080">
        <v>33688670</v>
      </c>
      <c r="D1080">
        <v>530.14</v>
      </c>
      <c r="E1080">
        <v>532.35</v>
      </c>
      <c r="F1080">
        <v>529.01</v>
      </c>
    </row>
    <row r="1081" spans="1:6" x14ac:dyDescent="0.45">
      <c r="A1081" s="1">
        <v>45818</v>
      </c>
      <c r="B1081">
        <v>534.21</v>
      </c>
      <c r="C1081">
        <v>40664800</v>
      </c>
      <c r="D1081">
        <v>531.16999999999996</v>
      </c>
      <c r="E1081">
        <v>534.9</v>
      </c>
      <c r="F1081">
        <v>528.89</v>
      </c>
    </row>
    <row r="1082" spans="1:6" x14ac:dyDescent="0.45">
      <c r="A1082" s="1">
        <v>45819</v>
      </c>
      <c r="B1082">
        <v>532.41</v>
      </c>
      <c r="C1082">
        <v>53701030</v>
      </c>
      <c r="D1082">
        <v>535.62</v>
      </c>
      <c r="E1082">
        <v>536.78</v>
      </c>
      <c r="F1082">
        <v>530.11</v>
      </c>
    </row>
    <row r="1083" spans="1:6" x14ac:dyDescent="0.45">
      <c r="A1083" s="1">
        <v>45820</v>
      </c>
      <c r="B1083">
        <v>533.66</v>
      </c>
      <c r="C1083">
        <v>34104890</v>
      </c>
      <c r="D1083">
        <v>531.09</v>
      </c>
      <c r="E1083">
        <v>534.64380000000006</v>
      </c>
      <c r="F1083">
        <v>530.84</v>
      </c>
    </row>
    <row r="1084" spans="1:6" x14ac:dyDescent="0.45">
      <c r="A1084" s="1">
        <v>45821</v>
      </c>
      <c r="B1084">
        <v>526.96</v>
      </c>
      <c r="C1084">
        <v>55814440</v>
      </c>
      <c r="D1084">
        <v>527.67999999999995</v>
      </c>
      <c r="E1084">
        <v>531.87</v>
      </c>
      <c r="F1084">
        <v>525.73</v>
      </c>
    </row>
    <row r="1085" spans="1:6" x14ac:dyDescent="0.45">
      <c r="A1085" s="1">
        <v>45824</v>
      </c>
      <c r="B1085">
        <v>534.29</v>
      </c>
      <c r="C1085">
        <v>37622050</v>
      </c>
      <c r="D1085">
        <v>530.5</v>
      </c>
      <c r="E1085">
        <v>535.37</v>
      </c>
      <c r="F1085">
        <v>530.45000000000005</v>
      </c>
    </row>
    <row r="1086" spans="1:6" x14ac:dyDescent="0.45">
      <c r="A1086" s="1">
        <v>45825</v>
      </c>
      <c r="B1086">
        <v>529.08000000000004</v>
      </c>
      <c r="C1086">
        <v>42180870</v>
      </c>
      <c r="D1086">
        <v>531.71</v>
      </c>
      <c r="E1086">
        <v>533.32500000000005</v>
      </c>
      <c r="F1086">
        <v>527.91</v>
      </c>
    </row>
    <row r="1087" spans="1:6" x14ac:dyDescent="0.45">
      <c r="A1087" s="1">
        <v>45826</v>
      </c>
      <c r="B1087">
        <v>528.99</v>
      </c>
      <c r="C1087">
        <v>43983520</v>
      </c>
      <c r="D1087">
        <v>530.1</v>
      </c>
      <c r="E1087">
        <v>532.54999999999995</v>
      </c>
      <c r="F1087">
        <v>527.4</v>
      </c>
    </row>
    <row r="1088" spans="1:6" x14ac:dyDescent="0.45">
      <c r="A1088" s="1">
        <v>45828</v>
      </c>
      <c r="B1088">
        <v>526.83000000000004</v>
      </c>
      <c r="C1088">
        <v>61643520</v>
      </c>
      <c r="D1088">
        <v>532.26</v>
      </c>
      <c r="E1088">
        <v>533.55999999999995</v>
      </c>
      <c r="F1088">
        <v>524.88</v>
      </c>
    </row>
    <row r="1089" spans="1:6" x14ac:dyDescent="0.45">
      <c r="A1089" s="1">
        <v>45831</v>
      </c>
      <c r="B1089">
        <v>531.65</v>
      </c>
      <c r="C1089">
        <v>50666150</v>
      </c>
      <c r="D1089">
        <v>526.80999999999995</v>
      </c>
      <c r="E1089">
        <v>532.16999999999996</v>
      </c>
      <c r="F1089">
        <v>523.65</v>
      </c>
    </row>
    <row r="1090" spans="1:6" x14ac:dyDescent="0.45">
      <c r="A1090" s="1">
        <v>45832</v>
      </c>
      <c r="B1090">
        <v>539.78</v>
      </c>
      <c r="C1090">
        <v>45441980</v>
      </c>
      <c r="D1090">
        <v>536.89</v>
      </c>
      <c r="E1090">
        <v>540.70000000000005</v>
      </c>
      <c r="F1090">
        <v>536.27</v>
      </c>
    </row>
    <row r="1091" spans="1:6" x14ac:dyDescent="0.45">
      <c r="A1091" s="1">
        <v>45833</v>
      </c>
      <c r="B1091">
        <v>541.16</v>
      </c>
      <c r="C1091">
        <v>44804170</v>
      </c>
      <c r="D1091">
        <v>542.05999999999995</v>
      </c>
      <c r="E1091">
        <v>543.30999999999995</v>
      </c>
      <c r="F1091">
        <v>539.38</v>
      </c>
    </row>
    <row r="1092" spans="1:6" x14ac:dyDescent="0.45">
      <c r="A1092" s="1">
        <v>45834</v>
      </c>
      <c r="B1092">
        <v>546.22</v>
      </c>
      <c r="C1092">
        <v>43811430</v>
      </c>
      <c r="D1092">
        <v>543.35</v>
      </c>
      <c r="E1092">
        <v>546.66999999999996</v>
      </c>
      <c r="F1092">
        <v>541.52</v>
      </c>
    </row>
    <row r="1093" spans="1:6" x14ac:dyDescent="0.45">
      <c r="A1093" s="1">
        <v>45835</v>
      </c>
      <c r="B1093">
        <v>548.09</v>
      </c>
      <c r="C1093">
        <v>57577150</v>
      </c>
      <c r="D1093">
        <v>547.26</v>
      </c>
      <c r="E1093">
        <v>549.99</v>
      </c>
      <c r="F1093">
        <v>544.54499999999996</v>
      </c>
    </row>
    <row r="1094" spans="1:6" x14ac:dyDescent="0.45">
      <c r="A1094" s="1">
        <v>45838</v>
      </c>
      <c r="B1094">
        <v>551.64</v>
      </c>
      <c r="C1094">
        <v>45548740</v>
      </c>
      <c r="D1094">
        <v>551.26</v>
      </c>
      <c r="E1094">
        <v>552.79999999999995</v>
      </c>
      <c r="F1094">
        <v>549.01</v>
      </c>
    </row>
    <row r="1095" spans="1:6" x14ac:dyDescent="0.45">
      <c r="A1095" s="1">
        <v>45839</v>
      </c>
      <c r="B1095">
        <v>546.99</v>
      </c>
      <c r="C1095">
        <v>56166740</v>
      </c>
      <c r="D1095">
        <v>549.73</v>
      </c>
      <c r="E1095">
        <v>550.71</v>
      </c>
      <c r="F1095">
        <v>544.66</v>
      </c>
    </row>
    <row r="1096" spans="1:6" x14ac:dyDescent="0.45">
      <c r="A1096" s="1">
        <v>45840</v>
      </c>
      <c r="B1096">
        <v>550.79999999999995</v>
      </c>
      <c r="C1096">
        <v>36538280</v>
      </c>
      <c r="D1096">
        <v>546.16</v>
      </c>
      <c r="E1096">
        <v>551</v>
      </c>
      <c r="F1096">
        <v>546.12</v>
      </c>
    </row>
    <row r="1097" spans="1:6" x14ac:dyDescent="0.45">
      <c r="A1097" s="1">
        <v>45841</v>
      </c>
      <c r="B1097">
        <v>556.22</v>
      </c>
      <c r="C1097">
        <v>26443520</v>
      </c>
      <c r="D1097">
        <v>553.17999999999995</v>
      </c>
      <c r="E1097">
        <v>557.20000000000005</v>
      </c>
      <c r="F1097">
        <v>553.17999999999995</v>
      </c>
    </row>
    <row r="1098" spans="1:6" x14ac:dyDescent="0.45">
      <c r="A1098" s="1">
        <v>45845</v>
      </c>
      <c r="B1098">
        <v>552.03</v>
      </c>
      <c r="C1098">
        <v>45349320</v>
      </c>
      <c r="D1098">
        <v>553.52</v>
      </c>
      <c r="E1098">
        <v>554.34</v>
      </c>
      <c r="F1098">
        <v>549.58000000000004</v>
      </c>
    </row>
    <row r="1099" spans="1:6" x14ac:dyDescent="0.45">
      <c r="A1099" s="1">
        <v>45846</v>
      </c>
      <c r="B1099">
        <v>552.34</v>
      </c>
      <c r="C1099">
        <v>36153260</v>
      </c>
      <c r="D1099">
        <v>553.38</v>
      </c>
      <c r="E1099">
        <v>554.01</v>
      </c>
      <c r="F1099">
        <v>551.1</v>
      </c>
    </row>
    <row r="1100" spans="1:6" x14ac:dyDescent="0.45">
      <c r="A1100" s="1">
        <v>45847</v>
      </c>
      <c r="B1100">
        <v>556.25</v>
      </c>
      <c r="C1100">
        <v>43045530</v>
      </c>
      <c r="D1100">
        <v>554.48</v>
      </c>
      <c r="E1100">
        <v>557.63</v>
      </c>
      <c r="F1100">
        <v>553.1</v>
      </c>
    </row>
    <row r="1101" spans="1:6" x14ac:dyDescent="0.45">
      <c r="A1101" s="1">
        <v>45848</v>
      </c>
      <c r="B1101">
        <v>555.45000000000005</v>
      </c>
      <c r="C1101">
        <v>34710910</v>
      </c>
      <c r="D1101">
        <v>556.89</v>
      </c>
      <c r="E1101">
        <v>557.29999999999995</v>
      </c>
      <c r="F1101">
        <v>552.75</v>
      </c>
    </row>
    <row r="1102" spans="1:6" x14ac:dyDescent="0.45">
      <c r="A1102" s="1">
        <v>45849</v>
      </c>
      <c r="B1102">
        <v>554.20000000000005</v>
      </c>
      <c r="C1102">
        <v>39618640</v>
      </c>
      <c r="D1102">
        <v>553.29999999999995</v>
      </c>
      <c r="E1102">
        <v>555.79</v>
      </c>
      <c r="F1102">
        <v>552.04999999999995</v>
      </c>
    </row>
    <row r="1103" spans="1:6" x14ac:dyDescent="0.45">
      <c r="A1103" s="1">
        <v>45852</v>
      </c>
      <c r="B1103">
        <v>556.21</v>
      </c>
      <c r="C1103">
        <v>36453310</v>
      </c>
      <c r="D1103">
        <v>553.99</v>
      </c>
      <c r="E1103">
        <v>556.94500000000005</v>
      </c>
      <c r="F1103">
        <v>551.63</v>
      </c>
    </row>
    <row r="1104" spans="1:6" x14ac:dyDescent="0.45">
      <c r="A1104" s="1">
        <v>45853</v>
      </c>
      <c r="B1104">
        <v>556.72</v>
      </c>
      <c r="C1104">
        <v>43277660</v>
      </c>
      <c r="D1104">
        <v>560.25</v>
      </c>
      <c r="E1104">
        <v>560.79999999999995</v>
      </c>
      <c r="F1104">
        <v>556.66</v>
      </c>
    </row>
    <row r="1105" spans="1:6" x14ac:dyDescent="0.45">
      <c r="A1105" s="1">
        <v>45854</v>
      </c>
      <c r="B1105">
        <v>557.29</v>
      </c>
      <c r="C1105">
        <v>52314710</v>
      </c>
      <c r="D1105">
        <v>557.28</v>
      </c>
      <c r="E1105">
        <v>560.21</v>
      </c>
      <c r="F1105">
        <v>551.55999999999995</v>
      </c>
    </row>
    <row r="1106" spans="1:6" x14ac:dyDescent="0.45">
      <c r="A1106" s="1">
        <v>45855</v>
      </c>
      <c r="B1106">
        <v>561.79999999999995</v>
      </c>
      <c r="C1106">
        <v>40423780</v>
      </c>
      <c r="D1106">
        <v>558.02</v>
      </c>
      <c r="E1106">
        <v>562.30999999999995</v>
      </c>
      <c r="F1106">
        <v>557.21</v>
      </c>
    </row>
    <row r="1107" spans="1:6" x14ac:dyDescent="0.45">
      <c r="A1107" s="1">
        <v>45856</v>
      </c>
      <c r="B1107">
        <v>561.26</v>
      </c>
      <c r="C1107">
        <v>50484700</v>
      </c>
      <c r="D1107">
        <v>563.12</v>
      </c>
      <c r="E1107">
        <v>564.72619999999995</v>
      </c>
      <c r="F1107">
        <v>559.98</v>
      </c>
    </row>
    <row r="1108" spans="1:6" x14ac:dyDescent="0.45">
      <c r="A1108" s="1">
        <v>45859</v>
      </c>
      <c r="B1108">
        <v>564.16999999999996</v>
      </c>
      <c r="C1108">
        <v>39595210</v>
      </c>
      <c r="D1108">
        <v>562.09</v>
      </c>
      <c r="E1108">
        <v>566.05999999999995</v>
      </c>
      <c r="F1108">
        <v>562.05999999999995</v>
      </c>
    </row>
    <row r="1109" spans="1:6" x14ac:dyDescent="0.45">
      <c r="A1109" s="1">
        <v>45860</v>
      </c>
      <c r="B1109">
        <v>561.25</v>
      </c>
      <c r="C1109">
        <v>43270650</v>
      </c>
      <c r="D1109">
        <v>564.29999999999995</v>
      </c>
      <c r="E1109">
        <v>564.35</v>
      </c>
      <c r="F1109">
        <v>558.61</v>
      </c>
    </row>
    <row r="1110" spans="1:6" x14ac:dyDescent="0.45">
      <c r="A1110" s="1">
        <v>45861</v>
      </c>
      <c r="B1110">
        <v>563.80999999999995</v>
      </c>
      <c r="C1110">
        <v>40215260</v>
      </c>
      <c r="D1110">
        <v>562.34</v>
      </c>
      <c r="E1110">
        <v>563.85</v>
      </c>
      <c r="F1110">
        <v>559.58000000000004</v>
      </c>
    </row>
    <row r="1111" spans="1:6" x14ac:dyDescent="0.45">
      <c r="A1111" s="1">
        <v>45862</v>
      </c>
      <c r="B1111">
        <v>565.01</v>
      </c>
      <c r="C1111">
        <v>42275540</v>
      </c>
      <c r="D1111">
        <v>565.13</v>
      </c>
      <c r="E1111">
        <v>566.24</v>
      </c>
      <c r="F1111">
        <v>563.29499999999996</v>
      </c>
    </row>
    <row r="1112" spans="1:6" x14ac:dyDescent="0.45">
      <c r="A1112" s="1">
        <v>45863</v>
      </c>
      <c r="B1112">
        <v>566.37</v>
      </c>
      <c r="C1112">
        <v>30630810</v>
      </c>
      <c r="D1112">
        <v>564.92999999999995</v>
      </c>
      <c r="E1112">
        <v>567.69500000000005</v>
      </c>
      <c r="F1112">
        <v>564.27</v>
      </c>
    </row>
    <row r="1113" spans="1:6" x14ac:dyDescent="0.45">
      <c r="A1113" s="1">
        <v>45866</v>
      </c>
      <c r="B1113">
        <v>568.14</v>
      </c>
      <c r="C1113">
        <v>31498740</v>
      </c>
      <c r="D1113">
        <v>567.74</v>
      </c>
      <c r="E1113">
        <v>569.04</v>
      </c>
      <c r="F1113">
        <v>566.87</v>
      </c>
    </row>
    <row r="1114" spans="1:6" x14ac:dyDescent="0.45">
      <c r="A1114" s="1">
        <v>45867</v>
      </c>
      <c r="B1114">
        <v>567.26</v>
      </c>
      <c r="C1114">
        <v>45463320</v>
      </c>
      <c r="D1114">
        <v>570.76</v>
      </c>
      <c r="E1114">
        <v>572.11</v>
      </c>
      <c r="F1114">
        <v>566.53</v>
      </c>
    </row>
    <row r="1115" spans="1:6" x14ac:dyDescent="0.45">
      <c r="A1115" s="1">
        <v>45868</v>
      </c>
      <c r="B1115">
        <v>568.02</v>
      </c>
      <c r="C1115">
        <v>43433780</v>
      </c>
      <c r="D1115">
        <v>568.17999999999995</v>
      </c>
      <c r="E1115">
        <v>570.62</v>
      </c>
      <c r="F1115">
        <v>565.04999999999995</v>
      </c>
    </row>
    <row r="1116" spans="1:6" x14ac:dyDescent="0.45">
      <c r="A1116" s="1">
        <v>45869</v>
      </c>
      <c r="B1116">
        <v>565.01</v>
      </c>
      <c r="C1116">
        <v>64613590</v>
      </c>
      <c r="D1116">
        <v>574.54</v>
      </c>
      <c r="E1116">
        <v>574.63</v>
      </c>
      <c r="F1116">
        <v>563.87</v>
      </c>
    </row>
    <row r="1117" spans="1:6" x14ac:dyDescent="0.45">
      <c r="A1117" s="1">
        <v>45870</v>
      </c>
      <c r="B1117">
        <v>553.88</v>
      </c>
      <c r="C1117">
        <v>69400790</v>
      </c>
      <c r="D1117">
        <v>558.83000000000004</v>
      </c>
      <c r="E1117">
        <v>559.02</v>
      </c>
      <c r="F1117">
        <v>551.67999999999995</v>
      </c>
    </row>
    <row r="1118" spans="1:6" x14ac:dyDescent="0.45">
      <c r="A1118" s="1">
        <v>45873</v>
      </c>
      <c r="B1118">
        <v>564.1</v>
      </c>
      <c r="C1118">
        <v>47669750</v>
      </c>
      <c r="D1118">
        <v>559.04999999999995</v>
      </c>
      <c r="E1118">
        <v>564.31500000000005</v>
      </c>
      <c r="F1118">
        <v>558.95000000000005</v>
      </c>
    </row>
    <row r="1119" spans="1:6" x14ac:dyDescent="0.45">
      <c r="A1119" s="1">
        <v>45874</v>
      </c>
      <c r="B1119">
        <v>560.27</v>
      </c>
      <c r="C1119">
        <v>48666640</v>
      </c>
      <c r="D1119">
        <v>565.39</v>
      </c>
      <c r="E1119">
        <v>566.5607</v>
      </c>
      <c r="F1119">
        <v>559.73</v>
      </c>
    </row>
    <row r="1120" spans="1:6" x14ac:dyDescent="0.45">
      <c r="A1120" s="1">
        <v>45875</v>
      </c>
      <c r="B1120">
        <v>567.32000000000005</v>
      </c>
      <c r="C1120">
        <v>41823680</v>
      </c>
      <c r="D1120">
        <v>561.11</v>
      </c>
      <c r="E1120">
        <v>567.76</v>
      </c>
      <c r="F1120">
        <v>560.63</v>
      </c>
    </row>
    <row r="1121" spans="1:6" x14ac:dyDescent="0.45">
      <c r="A1121" s="1">
        <v>45876</v>
      </c>
      <c r="B1121">
        <v>569.24</v>
      </c>
      <c r="C1121">
        <v>44462970</v>
      </c>
      <c r="D1121">
        <v>571.66999999999996</v>
      </c>
      <c r="E1121">
        <v>573.32000000000005</v>
      </c>
      <c r="F1121">
        <v>565.11</v>
      </c>
    </row>
    <row r="1122" spans="1:6" x14ac:dyDescent="0.45">
      <c r="A1122" s="1">
        <v>45877</v>
      </c>
      <c r="B1122">
        <v>574.54999999999995</v>
      </c>
      <c r="C1122">
        <v>35255470</v>
      </c>
      <c r="D1122">
        <v>570.45000000000005</v>
      </c>
      <c r="E1122">
        <v>574.77</v>
      </c>
      <c r="F1122">
        <v>570.15</v>
      </c>
    </row>
    <row r="1123" spans="1:6" x14ac:dyDescent="0.45">
      <c r="A1123" s="1">
        <v>45880</v>
      </c>
      <c r="B1123">
        <v>572.85</v>
      </c>
      <c r="C1123">
        <v>33112920</v>
      </c>
      <c r="D1123">
        <v>574.69000000000005</v>
      </c>
      <c r="E1123">
        <v>576.79999999999995</v>
      </c>
      <c r="F1123">
        <v>571.57000000000005</v>
      </c>
    </row>
    <row r="1124" spans="1:6" x14ac:dyDescent="0.45">
      <c r="A1124" s="1">
        <v>45881</v>
      </c>
      <c r="B1124">
        <v>580.04999999999995</v>
      </c>
      <c r="C1124">
        <v>42271440</v>
      </c>
      <c r="D1124">
        <v>575.16</v>
      </c>
      <c r="E1124">
        <v>580.35</v>
      </c>
      <c r="F1124">
        <v>572.48500000000001</v>
      </c>
    </row>
    <row r="1125" spans="1:6" x14ac:dyDescent="0.45">
      <c r="A1125" s="1">
        <v>45882</v>
      </c>
      <c r="B1125">
        <v>580.34</v>
      </c>
      <c r="C1125">
        <v>41209290</v>
      </c>
      <c r="D1125">
        <v>582.76</v>
      </c>
      <c r="E1125">
        <v>583.31989999999996</v>
      </c>
      <c r="F1125">
        <v>578.94000000000005</v>
      </c>
    </row>
    <row r="1126" spans="1:6" x14ac:dyDescent="0.45">
      <c r="A1126" s="1">
        <v>45883</v>
      </c>
      <c r="B1126">
        <v>579.89</v>
      </c>
      <c r="C1126">
        <v>45425040</v>
      </c>
      <c r="D1126">
        <v>578.28</v>
      </c>
      <c r="E1126">
        <v>581.88</v>
      </c>
      <c r="F1126">
        <v>577.91</v>
      </c>
    </row>
    <row r="1127" spans="1:6" x14ac:dyDescent="0.45">
      <c r="A1127" s="1">
        <v>45884</v>
      </c>
      <c r="B1127">
        <v>577.34</v>
      </c>
      <c r="C1127">
        <v>49480160</v>
      </c>
      <c r="D1127">
        <v>579.79999999999995</v>
      </c>
      <c r="E1127">
        <v>579.84</v>
      </c>
      <c r="F1127">
        <v>575.57429999999999</v>
      </c>
    </row>
    <row r="1128" spans="1:6" x14ac:dyDescent="0.45">
      <c r="A1128" s="1">
        <v>45887</v>
      </c>
      <c r="B1128">
        <v>577.11</v>
      </c>
      <c r="C1128">
        <v>29830960</v>
      </c>
      <c r="D1128">
        <v>576.44000000000005</v>
      </c>
      <c r="E1128">
        <v>577.76499999999999</v>
      </c>
      <c r="F1128">
        <v>575.24120000000005</v>
      </c>
    </row>
    <row r="1129" spans="1:6" x14ac:dyDescent="0.45">
      <c r="A1129" s="1">
        <v>45888</v>
      </c>
      <c r="B1129">
        <v>569.28</v>
      </c>
      <c r="C1129">
        <v>53752640</v>
      </c>
      <c r="D1129">
        <v>576.39</v>
      </c>
      <c r="E1129">
        <v>576.55999999999995</v>
      </c>
      <c r="F1129">
        <v>568.25</v>
      </c>
    </row>
    <row r="1130" spans="1:6" x14ac:dyDescent="0.45">
      <c r="A1130" s="1">
        <v>45889</v>
      </c>
      <c r="B1130">
        <v>565.9</v>
      </c>
      <c r="C1130">
        <v>76781090</v>
      </c>
      <c r="D1130">
        <v>568.33000000000004</v>
      </c>
      <c r="E1130">
        <v>568.45000000000005</v>
      </c>
      <c r="F1130">
        <v>558.84</v>
      </c>
    </row>
    <row r="1131" spans="1:6" x14ac:dyDescent="0.45">
      <c r="A1131" s="1">
        <v>45890</v>
      </c>
      <c r="B1131">
        <v>563.28</v>
      </c>
      <c r="C1131">
        <v>46436900</v>
      </c>
      <c r="D1131">
        <v>564.35</v>
      </c>
      <c r="E1131">
        <v>566.49</v>
      </c>
      <c r="F1131">
        <v>560.98</v>
      </c>
    </row>
    <row r="1132" spans="1:6" x14ac:dyDescent="0.45">
      <c r="A1132" s="1">
        <v>45891</v>
      </c>
      <c r="B1132">
        <v>571.97</v>
      </c>
      <c r="C1132">
        <v>51502130</v>
      </c>
      <c r="D1132">
        <v>564.66999999999996</v>
      </c>
      <c r="E1132">
        <v>573.99</v>
      </c>
      <c r="F1132">
        <v>563.27</v>
      </c>
    </row>
    <row r="1133" spans="1:6" x14ac:dyDescent="0.45">
      <c r="A1133" s="1">
        <v>45894</v>
      </c>
      <c r="B1133">
        <v>570.32000000000005</v>
      </c>
      <c r="C1133">
        <v>34044750</v>
      </c>
      <c r="D1133">
        <v>570.4</v>
      </c>
      <c r="E1133">
        <v>573.28710000000001</v>
      </c>
      <c r="F1133">
        <v>569.16</v>
      </c>
    </row>
    <row r="1134" spans="1:6" x14ac:dyDescent="0.45">
      <c r="A1134" s="1">
        <v>45895</v>
      </c>
      <c r="B1134">
        <v>572.61</v>
      </c>
      <c r="C1134">
        <v>34103010</v>
      </c>
      <c r="D1134">
        <v>569.83000000000004</v>
      </c>
      <c r="E1134">
        <v>572.91999999999996</v>
      </c>
      <c r="F1134">
        <v>568.79999999999995</v>
      </c>
    </row>
    <row r="1135" spans="1:6" x14ac:dyDescent="0.45">
      <c r="A1135" s="1">
        <v>45896</v>
      </c>
      <c r="B1135">
        <v>573.49</v>
      </c>
      <c r="C1135">
        <v>36927140</v>
      </c>
      <c r="D1135">
        <v>571.59</v>
      </c>
      <c r="E1135">
        <v>574.40499999999997</v>
      </c>
      <c r="F1135">
        <v>570.37</v>
      </c>
    </row>
    <row r="1136" spans="1:6" x14ac:dyDescent="0.45">
      <c r="A1136" s="1">
        <v>45897</v>
      </c>
      <c r="B1136">
        <v>577.08000000000004</v>
      </c>
      <c r="C1136">
        <v>46787860</v>
      </c>
      <c r="D1136">
        <v>574.11</v>
      </c>
      <c r="E1136">
        <v>578</v>
      </c>
      <c r="F1136">
        <v>572.46</v>
      </c>
    </row>
    <row r="1137" spans="1:6" x14ac:dyDescent="0.45">
      <c r="A1137" s="1">
        <v>45898</v>
      </c>
      <c r="B1137">
        <v>570.4</v>
      </c>
      <c r="C1137">
        <v>56030410</v>
      </c>
      <c r="D1137">
        <v>574.65499999999997</v>
      </c>
      <c r="E1137">
        <v>575.03</v>
      </c>
      <c r="F1137">
        <v>568.54</v>
      </c>
    </row>
    <row r="1138" spans="1:6" x14ac:dyDescent="0.45">
      <c r="A1138" s="1">
        <v>45902</v>
      </c>
      <c r="B1138">
        <v>565.62</v>
      </c>
      <c r="C1138">
        <v>65876770</v>
      </c>
      <c r="D1138">
        <v>561.30999999999995</v>
      </c>
      <c r="E1138">
        <v>565.96500000000003</v>
      </c>
      <c r="F1138">
        <v>559.53499999999997</v>
      </c>
    </row>
    <row r="1139" spans="1:6" x14ac:dyDescent="0.45">
      <c r="A1139" s="1">
        <v>45903</v>
      </c>
      <c r="B1139">
        <v>570.07000000000005</v>
      </c>
      <c r="C1139">
        <v>54230210</v>
      </c>
      <c r="D1139">
        <v>569.23</v>
      </c>
      <c r="E1139">
        <v>571.69500000000005</v>
      </c>
      <c r="F1139">
        <v>566.72500000000002</v>
      </c>
    </row>
    <row r="1140" spans="1:6" x14ac:dyDescent="0.45">
      <c r="A1140" s="1">
        <v>45904</v>
      </c>
      <c r="B1140">
        <v>575.23</v>
      </c>
      <c r="C1140">
        <v>47526280</v>
      </c>
      <c r="D1140">
        <v>570.74</v>
      </c>
      <c r="E1140">
        <v>575.6</v>
      </c>
      <c r="F1140">
        <v>569.02499999999998</v>
      </c>
    </row>
    <row r="1141" spans="1:6" x14ac:dyDescent="0.45">
      <c r="A1141" s="1">
        <v>45905</v>
      </c>
      <c r="B1141">
        <v>576.05999999999995</v>
      </c>
      <c r="C1141">
        <v>68342530</v>
      </c>
      <c r="D1141">
        <v>580.49</v>
      </c>
      <c r="E1141">
        <v>581.12</v>
      </c>
      <c r="F1141">
        <v>571.53</v>
      </c>
    </row>
    <row r="1142" spans="1:6" x14ac:dyDescent="0.45">
      <c r="A1142" s="1">
        <v>45908</v>
      </c>
      <c r="B1142">
        <v>578.87</v>
      </c>
      <c r="C1142">
        <v>46371350</v>
      </c>
      <c r="D1142">
        <v>578.37</v>
      </c>
      <c r="E1142">
        <v>580.84</v>
      </c>
      <c r="F1142">
        <v>577.77</v>
      </c>
    </row>
    <row r="1143" spans="1:6" x14ac:dyDescent="0.45">
      <c r="A1143" s="1">
        <v>45909</v>
      </c>
      <c r="B1143">
        <v>580.51</v>
      </c>
      <c r="C1143">
        <v>44007590</v>
      </c>
      <c r="D1143">
        <v>579.66999999999996</v>
      </c>
      <c r="E1143">
        <v>580.94000000000005</v>
      </c>
      <c r="F1143">
        <v>577.04</v>
      </c>
    </row>
    <row r="1144" spans="1:6" x14ac:dyDescent="0.45">
      <c r="A1144" s="1">
        <v>45910</v>
      </c>
      <c r="B1144">
        <v>580.70000000000005</v>
      </c>
      <c r="C1144">
        <v>49307960</v>
      </c>
      <c r="D1144">
        <v>583.74</v>
      </c>
      <c r="E1144">
        <v>583.77</v>
      </c>
      <c r="F1144">
        <v>578.54999999999995</v>
      </c>
    </row>
    <row r="1145" spans="1:6" x14ac:dyDescent="0.45">
      <c r="A1145" s="1">
        <v>45911</v>
      </c>
      <c r="B1145">
        <v>584.08000000000004</v>
      </c>
      <c r="C1145">
        <v>44745770</v>
      </c>
      <c r="D1145">
        <v>583.24</v>
      </c>
      <c r="E1145">
        <v>584.88</v>
      </c>
      <c r="F1145">
        <v>581.62</v>
      </c>
    </row>
    <row r="1146" spans="1:6" x14ac:dyDescent="0.45">
      <c r="A1146" s="1">
        <v>45912</v>
      </c>
      <c r="B1146">
        <v>586.66</v>
      </c>
      <c r="C1146">
        <v>50745890</v>
      </c>
      <c r="D1146">
        <v>585.04</v>
      </c>
      <c r="E1146">
        <v>587.86</v>
      </c>
      <c r="F1146">
        <v>584.1</v>
      </c>
    </row>
    <row r="1147" spans="1:6" x14ac:dyDescent="0.45">
      <c r="A1147" s="1">
        <v>45915</v>
      </c>
      <c r="B1147">
        <v>591.67999999999995</v>
      </c>
      <c r="C1147">
        <v>44360320</v>
      </c>
      <c r="D1147">
        <v>588.44000000000005</v>
      </c>
      <c r="E1147">
        <v>591.79</v>
      </c>
      <c r="F1147">
        <v>588.29499999999996</v>
      </c>
    </row>
    <row r="1148" spans="1:6" x14ac:dyDescent="0.45">
      <c r="A1148" s="1">
        <v>45916</v>
      </c>
      <c r="B1148">
        <v>591.17999999999995</v>
      </c>
      <c r="C1148">
        <v>36942130</v>
      </c>
      <c r="D1148">
        <v>592.61</v>
      </c>
      <c r="E1148">
        <v>592.86</v>
      </c>
      <c r="F1148">
        <v>590.49</v>
      </c>
    </row>
    <row r="1149" spans="1:6" x14ac:dyDescent="0.45">
      <c r="A1149" s="1">
        <v>45917</v>
      </c>
      <c r="B1149">
        <v>590</v>
      </c>
      <c r="C1149">
        <v>69384820</v>
      </c>
      <c r="D1149">
        <v>591.1</v>
      </c>
      <c r="E1149">
        <v>591.75</v>
      </c>
      <c r="F1149">
        <v>584.36500000000001</v>
      </c>
    </row>
    <row r="1150" spans="1:6" x14ac:dyDescent="0.45">
      <c r="A1150" s="1">
        <v>45918</v>
      </c>
      <c r="B1150">
        <v>595.32000000000005</v>
      </c>
      <c r="C1150">
        <v>61069290</v>
      </c>
      <c r="D1150">
        <v>594.91</v>
      </c>
      <c r="E1150">
        <v>598.14</v>
      </c>
      <c r="F1150">
        <v>592.96</v>
      </c>
    </row>
    <row r="1151" spans="1:6" x14ac:dyDescent="0.45">
      <c r="A1151" s="1">
        <v>45919</v>
      </c>
      <c r="B1151">
        <v>599.35</v>
      </c>
      <c r="C1151">
        <v>58196110</v>
      </c>
      <c r="D1151">
        <v>597.33000000000004</v>
      </c>
      <c r="E1151">
        <v>600.04999999999995</v>
      </c>
      <c r="F1151">
        <v>595.85</v>
      </c>
    </row>
    <row r="1152" spans="1:6" x14ac:dyDescent="0.45">
      <c r="A1152" s="1">
        <v>45922</v>
      </c>
      <c r="B1152">
        <v>602.20000000000005</v>
      </c>
      <c r="C1152">
        <v>57154770</v>
      </c>
      <c r="D1152">
        <v>597.74</v>
      </c>
      <c r="E1152">
        <v>602.87</v>
      </c>
      <c r="F1152">
        <v>597.72</v>
      </c>
    </row>
    <row r="1153" spans="1:6" x14ac:dyDescent="0.45">
      <c r="A1153" s="1">
        <v>45923</v>
      </c>
      <c r="B1153">
        <v>598.20000000000005</v>
      </c>
      <c r="C1153">
        <v>64635490</v>
      </c>
      <c r="D1153">
        <v>602.37</v>
      </c>
      <c r="E1153">
        <v>602.57000000000005</v>
      </c>
      <c r="F1153">
        <v>596.98</v>
      </c>
    </row>
    <row r="1154" spans="1:6" x14ac:dyDescent="0.45">
      <c r="A1154" s="1">
        <v>45924</v>
      </c>
      <c r="B1154">
        <v>596.1</v>
      </c>
      <c r="C1154">
        <v>49850300</v>
      </c>
      <c r="D1154">
        <v>599.58000000000004</v>
      </c>
      <c r="E1154">
        <v>599.9</v>
      </c>
      <c r="F1154">
        <v>593.36</v>
      </c>
    </row>
    <row r="1155" spans="1:6" x14ac:dyDescent="0.45">
      <c r="A1155" s="1">
        <v>45925</v>
      </c>
      <c r="B1155">
        <v>593.53</v>
      </c>
      <c r="C1155">
        <v>70920210</v>
      </c>
      <c r="D1155">
        <v>592.20000000000005</v>
      </c>
      <c r="E1155">
        <v>595.11500000000001</v>
      </c>
      <c r="F1155">
        <v>588.5</v>
      </c>
    </row>
    <row r="1156" spans="1:6" x14ac:dyDescent="0.45">
      <c r="A1156" s="1">
        <v>45926</v>
      </c>
      <c r="B1156">
        <v>595.97</v>
      </c>
      <c r="C1156">
        <v>54337420</v>
      </c>
      <c r="D1156">
        <v>594.35</v>
      </c>
      <c r="E1156">
        <v>596.29999999999995</v>
      </c>
      <c r="F1156">
        <v>591.05999999999995</v>
      </c>
    </row>
    <row r="1157" spans="1:6" x14ac:dyDescent="0.45">
      <c r="A1157" s="1">
        <v>45929</v>
      </c>
      <c r="B1157">
        <v>598.73</v>
      </c>
      <c r="C1157">
        <v>48332930</v>
      </c>
      <c r="D1157">
        <v>599.11</v>
      </c>
      <c r="E1157">
        <v>602.04999999999995</v>
      </c>
      <c r="F1157">
        <v>597.41</v>
      </c>
    </row>
    <row r="1158" spans="1:6" x14ac:dyDescent="0.45">
      <c r="A1158" s="1">
        <v>45930</v>
      </c>
      <c r="B1158">
        <v>600.37</v>
      </c>
      <c r="C1158">
        <v>46533810</v>
      </c>
      <c r="D1158">
        <v>598.42999999999995</v>
      </c>
      <c r="E1158">
        <v>600.71</v>
      </c>
      <c r="F1158">
        <v>596.1</v>
      </c>
    </row>
    <row r="1159" spans="1:6" x14ac:dyDescent="0.45">
      <c r="A1159" s="1">
        <v>45931</v>
      </c>
      <c r="B1159">
        <v>603.25</v>
      </c>
      <c r="C1159">
        <v>46899610</v>
      </c>
      <c r="D1159">
        <v>597.16999999999996</v>
      </c>
      <c r="E1159">
        <v>603.79</v>
      </c>
      <c r="F1159">
        <v>596.34</v>
      </c>
    </row>
    <row r="1160" spans="1:6" x14ac:dyDescent="0.45">
      <c r="A1160" s="1">
        <v>45932</v>
      </c>
      <c r="B1160">
        <v>605.73</v>
      </c>
      <c r="C1160">
        <v>43765410</v>
      </c>
      <c r="D1160">
        <v>607.05999999999995</v>
      </c>
      <c r="E1160">
        <v>607.16</v>
      </c>
      <c r="F1160">
        <v>602.92999999999995</v>
      </c>
    </row>
    <row r="1161" spans="1:6" x14ac:dyDescent="0.45">
      <c r="A1161" s="1">
        <v>45933</v>
      </c>
      <c r="B1161">
        <v>603.17999999999995</v>
      </c>
      <c r="C1161">
        <v>46482100</v>
      </c>
      <c r="D1161">
        <v>606.51</v>
      </c>
      <c r="E1161">
        <v>607.32550000000003</v>
      </c>
      <c r="F1161">
        <v>601.38499999999999</v>
      </c>
    </row>
    <row r="1162" spans="1:6" x14ac:dyDescent="0.45">
      <c r="A1162" s="1">
        <v>45936</v>
      </c>
      <c r="B1162">
        <v>607.71</v>
      </c>
      <c r="C1162">
        <v>41962120</v>
      </c>
      <c r="D1162">
        <v>608.45000000000005</v>
      </c>
      <c r="E1162">
        <v>609.36</v>
      </c>
      <c r="F1162">
        <v>605.97</v>
      </c>
    </row>
    <row r="1163" spans="1:6" x14ac:dyDescent="0.45">
      <c r="A1163" s="1">
        <v>45937</v>
      </c>
      <c r="B1163">
        <v>604.51</v>
      </c>
      <c r="C1163">
        <v>58209460</v>
      </c>
      <c r="D1163">
        <v>609.02</v>
      </c>
      <c r="E1163">
        <v>609.71</v>
      </c>
      <c r="F1163">
        <v>603.03</v>
      </c>
    </row>
    <row r="1164" spans="1:6" x14ac:dyDescent="0.45">
      <c r="A1164" s="1">
        <v>45938</v>
      </c>
      <c r="B1164">
        <v>611.44000000000005</v>
      </c>
      <c r="C1164">
        <v>50629750</v>
      </c>
      <c r="D1164">
        <v>605.41</v>
      </c>
      <c r="E1164">
        <v>611.75</v>
      </c>
      <c r="F1164">
        <v>605.26</v>
      </c>
    </row>
    <row r="1165" spans="1:6" x14ac:dyDescent="0.45">
      <c r="A1165" s="1">
        <v>45939</v>
      </c>
      <c r="B1165">
        <v>610.70000000000005</v>
      </c>
      <c r="C1165">
        <v>45550960</v>
      </c>
      <c r="D1165">
        <v>611.48</v>
      </c>
      <c r="E1165">
        <v>611.61</v>
      </c>
      <c r="F1165">
        <v>607.48</v>
      </c>
    </row>
    <row r="1166" spans="1:6" x14ac:dyDescent="0.45">
      <c r="A1166" s="1">
        <v>45940</v>
      </c>
      <c r="B1166">
        <v>589.5</v>
      </c>
      <c r="C1166">
        <v>97614780</v>
      </c>
      <c r="D1166">
        <v>611.4</v>
      </c>
      <c r="E1166">
        <v>613.17999999999995</v>
      </c>
      <c r="F1166">
        <v>589.04999999999995</v>
      </c>
    </row>
    <row r="1167" spans="1:6" x14ac:dyDescent="0.45">
      <c r="A1167" s="1">
        <v>45943</v>
      </c>
      <c r="B1167">
        <v>602.01</v>
      </c>
      <c r="C1167">
        <v>65872580</v>
      </c>
      <c r="D1167">
        <v>599.67999999999995</v>
      </c>
      <c r="E1167">
        <v>602.95000000000005</v>
      </c>
      <c r="F1167">
        <v>597.23</v>
      </c>
    </row>
    <row r="1168" spans="1:6" x14ac:dyDescent="0.45">
      <c r="A1168" s="1">
        <v>45944</v>
      </c>
      <c r="B1168">
        <v>598</v>
      </c>
      <c r="C1168">
        <v>69203190</v>
      </c>
      <c r="D1168">
        <v>595.30999999999995</v>
      </c>
      <c r="E1168">
        <v>602.69000000000005</v>
      </c>
      <c r="F1168">
        <v>590.13</v>
      </c>
    </row>
    <row r="1169" spans="1:6" x14ac:dyDescent="0.45">
      <c r="A1169" s="1">
        <v>45945</v>
      </c>
      <c r="B1169">
        <v>602.22</v>
      </c>
      <c r="C1169">
        <v>62805460</v>
      </c>
      <c r="D1169">
        <v>604.01</v>
      </c>
      <c r="E1169">
        <v>606.70000000000005</v>
      </c>
      <c r="F1169">
        <v>595.92999999999995</v>
      </c>
    </row>
    <row r="1170" spans="1:6" x14ac:dyDescent="0.45">
      <c r="A1170" s="1">
        <v>45946</v>
      </c>
      <c r="B1170">
        <v>599.99</v>
      </c>
      <c r="C1170">
        <v>70981960</v>
      </c>
      <c r="D1170">
        <v>605.11</v>
      </c>
      <c r="E1170">
        <v>608.30999999999995</v>
      </c>
      <c r="F1170">
        <v>595.5</v>
      </c>
    </row>
    <row r="1171" spans="1:6" x14ac:dyDescent="0.45">
      <c r="A1171" s="1">
        <v>45947</v>
      </c>
      <c r="B1171">
        <v>603.92999999999995</v>
      </c>
      <c r="C1171">
        <v>72024870</v>
      </c>
      <c r="D1171">
        <v>597.95000000000005</v>
      </c>
      <c r="E1171">
        <v>605.51</v>
      </c>
      <c r="F1171">
        <v>596.37</v>
      </c>
    </row>
    <row r="1172" spans="1:6" x14ac:dyDescent="0.45">
      <c r="A1172" s="1">
        <v>45950</v>
      </c>
      <c r="B1172">
        <v>611.54</v>
      </c>
      <c r="C1172">
        <v>45761700</v>
      </c>
      <c r="D1172">
        <v>607.14</v>
      </c>
      <c r="E1172">
        <v>612.79999999999995</v>
      </c>
      <c r="F1172">
        <v>607.06500000000005</v>
      </c>
    </row>
    <row r="1173" spans="1:6" x14ac:dyDescent="0.45">
      <c r="A1173" s="1">
        <v>45951</v>
      </c>
      <c r="B1173">
        <v>611.38</v>
      </c>
      <c r="C1173">
        <v>44538160</v>
      </c>
      <c r="D1173">
        <v>611.64</v>
      </c>
      <c r="E1173">
        <v>612.72130000000004</v>
      </c>
      <c r="F1173">
        <v>609.32000000000005</v>
      </c>
    </row>
    <row r="1174" spans="1:6" x14ac:dyDescent="0.45">
      <c r="A1174" s="1">
        <v>45952</v>
      </c>
      <c r="B1174">
        <v>605.49</v>
      </c>
      <c r="C1174">
        <v>61478800</v>
      </c>
      <c r="D1174">
        <v>610.82000000000005</v>
      </c>
      <c r="E1174">
        <v>611.41</v>
      </c>
      <c r="F1174">
        <v>599.74</v>
      </c>
    </row>
    <row r="1175" spans="1:6" x14ac:dyDescent="0.45">
      <c r="A1175" s="1">
        <v>45953</v>
      </c>
      <c r="B1175">
        <v>610.58000000000004</v>
      </c>
      <c r="C1175">
        <v>42844300</v>
      </c>
      <c r="D1175">
        <v>604.91</v>
      </c>
      <c r="E1175">
        <v>611.37</v>
      </c>
      <c r="F1175">
        <v>604.52</v>
      </c>
    </row>
    <row r="1176" spans="1:6" x14ac:dyDescent="0.45">
      <c r="A1176" s="1">
        <v>45954</v>
      </c>
      <c r="B1176">
        <v>617.1</v>
      </c>
      <c r="C1176">
        <v>47632470</v>
      </c>
      <c r="D1176">
        <v>615.99</v>
      </c>
      <c r="E1176">
        <v>618.41999999999996</v>
      </c>
      <c r="F1176">
        <v>615.13</v>
      </c>
    </row>
    <row r="1177" spans="1:6" x14ac:dyDescent="0.45">
      <c r="A1177" s="1">
        <v>45957</v>
      </c>
      <c r="B1177">
        <v>628.09</v>
      </c>
      <c r="C1177">
        <v>54098610</v>
      </c>
      <c r="D1177">
        <v>624.52</v>
      </c>
      <c r="E1177">
        <v>628.54999999999995</v>
      </c>
      <c r="F1177">
        <v>624.03</v>
      </c>
    </row>
    <row r="1178" spans="1:6" x14ac:dyDescent="0.45">
      <c r="A1178" s="1">
        <v>45958</v>
      </c>
      <c r="B1178">
        <v>632.91999999999996</v>
      </c>
      <c r="C1178">
        <v>61195730</v>
      </c>
      <c r="D1178">
        <v>630.36</v>
      </c>
      <c r="E1178">
        <v>634.67999999999995</v>
      </c>
      <c r="F1178">
        <v>629.25</v>
      </c>
    </row>
    <row r="1179" spans="1:6" x14ac:dyDescent="0.45">
      <c r="A1179" s="1">
        <v>45959</v>
      </c>
      <c r="B1179">
        <v>635.77</v>
      </c>
      <c r="C1179">
        <v>67422810</v>
      </c>
      <c r="D1179">
        <v>635.59</v>
      </c>
      <c r="E1179">
        <v>637.01</v>
      </c>
      <c r="F1179">
        <v>630.25</v>
      </c>
    </row>
    <row r="1180" spans="1:6" x14ac:dyDescent="0.45">
      <c r="A1180" s="1">
        <v>45960</v>
      </c>
      <c r="B1180">
        <v>626.04999999999995</v>
      </c>
      <c r="C1180">
        <v>61628620</v>
      </c>
      <c r="D1180">
        <v>632.16999999999996</v>
      </c>
      <c r="E1180">
        <v>633.5</v>
      </c>
      <c r="F1180">
        <v>625.94000000000005</v>
      </c>
    </row>
    <row r="1181" spans="1:6" x14ac:dyDescent="0.45">
      <c r="A1181" s="1">
        <v>45961</v>
      </c>
      <c r="B1181">
        <v>629.07000000000005</v>
      </c>
      <c r="C1181">
        <v>66305150</v>
      </c>
      <c r="D1181">
        <v>634.16999999999996</v>
      </c>
      <c r="E1181">
        <v>634.20000000000005</v>
      </c>
      <c r="F1181">
        <v>626.69000000000005</v>
      </c>
    </row>
    <row r="1182" spans="1:6" x14ac:dyDescent="0.45">
      <c r="A1182" s="1">
        <v>45964</v>
      </c>
      <c r="B1182">
        <v>632.08000000000004</v>
      </c>
      <c r="C1182">
        <v>37154310</v>
      </c>
      <c r="D1182">
        <v>635.11</v>
      </c>
      <c r="E1182">
        <v>635.82000000000005</v>
      </c>
      <c r="F1182">
        <v>629.85</v>
      </c>
    </row>
    <row r="1183" spans="1:6" x14ac:dyDescent="0.45">
      <c r="A1183" s="1">
        <v>45965</v>
      </c>
      <c r="B1183">
        <v>619.25</v>
      </c>
      <c r="C1183">
        <v>63830770</v>
      </c>
      <c r="D1183">
        <v>623.28</v>
      </c>
      <c r="E1183">
        <v>626.95000000000005</v>
      </c>
      <c r="F1183">
        <v>618.45500000000004</v>
      </c>
    </row>
    <row r="1184" spans="1:6" x14ac:dyDescent="0.45">
      <c r="A1184" s="1">
        <v>45966</v>
      </c>
      <c r="B1184">
        <v>623.28</v>
      </c>
      <c r="C1184">
        <v>48688480</v>
      </c>
      <c r="D1184">
        <v>618.49</v>
      </c>
      <c r="E1184">
        <v>626.6</v>
      </c>
      <c r="F1184">
        <v>617.21</v>
      </c>
    </row>
    <row r="1185" spans="1:6" x14ac:dyDescent="0.45">
      <c r="A1185" s="1">
        <v>45967</v>
      </c>
      <c r="B1185">
        <v>611.66999999999996</v>
      </c>
      <c r="C1185">
        <v>72115130</v>
      </c>
      <c r="D1185">
        <v>621.79</v>
      </c>
      <c r="E1185">
        <v>622.04</v>
      </c>
      <c r="F1185">
        <v>610.29999999999995</v>
      </c>
    </row>
    <row r="1186" spans="1:6" x14ac:dyDescent="0.45">
      <c r="A1186" s="1">
        <v>45968</v>
      </c>
      <c r="B1186">
        <v>609.74</v>
      </c>
      <c r="C1186">
        <v>81835390</v>
      </c>
      <c r="D1186">
        <v>608.30999999999995</v>
      </c>
      <c r="E1186">
        <v>609.95000000000005</v>
      </c>
      <c r="F1186">
        <v>598.66999999999996</v>
      </c>
    </row>
    <row r="1187" spans="1:6" x14ac:dyDescent="0.45">
      <c r="A1187" s="1">
        <v>45971</v>
      </c>
      <c r="B1187">
        <v>623.23</v>
      </c>
      <c r="C1187">
        <v>55919930</v>
      </c>
      <c r="D1187">
        <v>618.91999999999996</v>
      </c>
      <c r="E1187">
        <v>624.30999999999995</v>
      </c>
      <c r="F1187">
        <v>616.89</v>
      </c>
    </row>
    <row r="1188" spans="1:6" x14ac:dyDescent="0.45">
      <c r="A1188" s="1">
        <v>45972</v>
      </c>
      <c r="B1188">
        <v>621.57000000000005</v>
      </c>
      <c r="C1188">
        <v>44868840</v>
      </c>
      <c r="D1188">
        <v>620.57000000000005</v>
      </c>
      <c r="E1188">
        <v>622.72</v>
      </c>
      <c r="F1188">
        <v>617.52</v>
      </c>
    </row>
    <row r="1189" spans="1:6" x14ac:dyDescent="0.45">
      <c r="A1189" s="1">
        <v>45973</v>
      </c>
      <c r="B1189">
        <v>621.08000000000004</v>
      </c>
      <c r="C1189">
        <v>47444380</v>
      </c>
      <c r="D1189">
        <v>624.84</v>
      </c>
      <c r="E1189">
        <v>624.86</v>
      </c>
      <c r="F1189">
        <v>617.80999999999995</v>
      </c>
    </row>
    <row r="1190" spans="1:6" x14ac:dyDescent="0.45">
      <c r="A1190" s="1">
        <v>45974</v>
      </c>
      <c r="B1190">
        <v>608.4</v>
      </c>
      <c r="C1190">
        <v>71333630</v>
      </c>
      <c r="D1190">
        <v>617.54</v>
      </c>
      <c r="E1190">
        <v>618.12</v>
      </c>
      <c r="F1190">
        <v>606.08000000000004</v>
      </c>
    </row>
    <row r="1191" spans="1:6" x14ac:dyDescent="0.45">
      <c r="A1191" s="1">
        <v>45975</v>
      </c>
      <c r="B1191">
        <v>608.86</v>
      </c>
      <c r="C1191">
        <v>80087290</v>
      </c>
      <c r="D1191">
        <v>599.54999999999995</v>
      </c>
      <c r="E1191">
        <v>613.35</v>
      </c>
      <c r="F1191">
        <v>597.16999999999996</v>
      </c>
    </row>
    <row r="1192" spans="1:6" x14ac:dyDescent="0.45">
      <c r="A1192" s="1">
        <v>45978</v>
      </c>
      <c r="B1192">
        <v>603.66</v>
      </c>
      <c r="C1192">
        <v>63850370</v>
      </c>
      <c r="D1192">
        <v>606.29999999999995</v>
      </c>
      <c r="E1192">
        <v>612.48</v>
      </c>
      <c r="F1192">
        <v>599.87</v>
      </c>
    </row>
    <row r="1193" spans="1:6" x14ac:dyDescent="0.45">
      <c r="A1193" s="1">
        <v>45979</v>
      </c>
      <c r="B1193">
        <v>596.30999999999995</v>
      </c>
      <c r="C1193">
        <v>83327280</v>
      </c>
      <c r="D1193">
        <v>599.62</v>
      </c>
      <c r="E1193">
        <v>602.30999999999995</v>
      </c>
      <c r="F1193">
        <v>591.34</v>
      </c>
    </row>
    <row r="1194" spans="1:6" x14ac:dyDescent="0.45">
      <c r="A1194" s="1">
        <v>45980</v>
      </c>
      <c r="B1194">
        <v>599.87</v>
      </c>
      <c r="C1194">
        <v>73111490</v>
      </c>
      <c r="D1194">
        <v>597.07000000000005</v>
      </c>
      <c r="E1194">
        <v>606.16</v>
      </c>
      <c r="F1194">
        <v>594.59</v>
      </c>
    </row>
    <row r="1195" spans="1:6" x14ac:dyDescent="0.45">
      <c r="A1195" s="1">
        <v>45981</v>
      </c>
      <c r="B1195">
        <v>585.66999999999996</v>
      </c>
      <c r="C1195">
        <v>117743200</v>
      </c>
      <c r="D1195">
        <v>611.62</v>
      </c>
      <c r="E1195">
        <v>614.03</v>
      </c>
      <c r="F1195">
        <v>584.75</v>
      </c>
    </row>
    <row r="1196" spans="1:6" x14ac:dyDescent="0.45">
      <c r="A1196" s="1">
        <v>45982</v>
      </c>
      <c r="B1196">
        <v>590.07000000000005</v>
      </c>
      <c r="C1196">
        <v>103344200</v>
      </c>
      <c r="D1196">
        <v>587.47</v>
      </c>
      <c r="E1196">
        <v>596.98</v>
      </c>
      <c r="F1196">
        <v>580.74</v>
      </c>
    </row>
    <row r="1197" spans="1:6" x14ac:dyDescent="0.45">
      <c r="A1197" s="1">
        <v>45985</v>
      </c>
      <c r="B1197">
        <v>605.16</v>
      </c>
      <c r="C1197">
        <v>60168150</v>
      </c>
      <c r="D1197">
        <v>595.28</v>
      </c>
      <c r="E1197">
        <v>606.67999999999995</v>
      </c>
      <c r="F1197">
        <v>595.16</v>
      </c>
    </row>
    <row r="1198" spans="1:6" x14ac:dyDescent="0.45">
      <c r="A1198" s="1">
        <v>45986</v>
      </c>
      <c r="B1198">
        <v>608.89</v>
      </c>
      <c r="C1198">
        <v>57560870</v>
      </c>
      <c r="D1198">
        <v>603.51</v>
      </c>
      <c r="E1198">
        <v>610.26009999999997</v>
      </c>
      <c r="F1198">
        <v>597.32000000000005</v>
      </c>
    </row>
    <row r="1199" spans="1:6" x14ac:dyDescent="0.45">
      <c r="A1199" s="1">
        <v>45987</v>
      </c>
      <c r="B1199">
        <v>614.27</v>
      </c>
      <c r="C1199">
        <v>42393600</v>
      </c>
      <c r="D1199">
        <v>612.51</v>
      </c>
      <c r="E1199">
        <v>616.19000000000005</v>
      </c>
      <c r="F1199">
        <v>610.39</v>
      </c>
    </row>
    <row r="1200" spans="1:6" x14ac:dyDescent="0.45">
      <c r="A1200" s="1">
        <v>45989</v>
      </c>
      <c r="B1200">
        <v>619.25</v>
      </c>
      <c r="C1200">
        <v>23034390</v>
      </c>
      <c r="D1200">
        <v>616.11</v>
      </c>
      <c r="E1200">
        <v>619.32000000000005</v>
      </c>
      <c r="F1200">
        <v>615.41740000000004</v>
      </c>
    </row>
    <row r="1201" spans="1:6" x14ac:dyDescent="0.45">
      <c r="A1201" s="1">
        <v>45992</v>
      </c>
      <c r="B1201">
        <v>617.16999999999996</v>
      </c>
      <c r="C1201">
        <v>40957590</v>
      </c>
      <c r="D1201">
        <v>613.63</v>
      </c>
      <c r="E1201">
        <v>619.44010000000003</v>
      </c>
      <c r="F1201">
        <v>612.52</v>
      </c>
    </row>
    <row r="1202" spans="1:6" x14ac:dyDescent="0.45">
      <c r="A1202" s="1">
        <v>45993</v>
      </c>
      <c r="B1202">
        <v>622</v>
      </c>
      <c r="C1202">
        <v>54541830</v>
      </c>
      <c r="D1202">
        <v>619.46</v>
      </c>
      <c r="E1202">
        <v>623.75</v>
      </c>
      <c r="F1202">
        <v>617.59</v>
      </c>
    </row>
    <row r="1203" spans="1:6" x14ac:dyDescent="0.45">
      <c r="A1203" s="1">
        <v>45994</v>
      </c>
      <c r="B1203">
        <v>623.52</v>
      </c>
      <c r="C1203">
        <v>47841630</v>
      </c>
      <c r="D1203">
        <v>619.62</v>
      </c>
      <c r="E1203">
        <v>624.22</v>
      </c>
      <c r="F1203">
        <v>618.03</v>
      </c>
    </row>
    <row r="1204" spans="1:6" x14ac:dyDescent="0.45">
      <c r="A1204" s="1">
        <v>45995</v>
      </c>
      <c r="B1204">
        <v>622.94000000000005</v>
      </c>
      <c r="C1204">
        <v>47067750</v>
      </c>
      <c r="D1204">
        <v>624.92999999999995</v>
      </c>
      <c r="E1204">
        <v>624.94000000000005</v>
      </c>
      <c r="F1204">
        <v>619.54</v>
      </c>
    </row>
    <row r="1205" spans="1:6" x14ac:dyDescent="0.45">
      <c r="A1205" s="1">
        <v>45996</v>
      </c>
      <c r="B1205">
        <v>625.48</v>
      </c>
      <c r="C1205">
        <v>53614170</v>
      </c>
      <c r="D1205">
        <v>624.38</v>
      </c>
      <c r="E1205">
        <v>628.91999999999996</v>
      </c>
      <c r="F1205">
        <v>623.71</v>
      </c>
    </row>
    <row r="1206" spans="1:6" x14ac:dyDescent="0.45">
      <c r="A1206" s="1">
        <v>45999</v>
      </c>
      <c r="B1206">
        <v>624.28</v>
      </c>
      <c r="C1206">
        <v>43462410</v>
      </c>
      <c r="D1206">
        <v>627.21</v>
      </c>
      <c r="E1206">
        <v>628.84</v>
      </c>
      <c r="F1206">
        <v>621.69000000000005</v>
      </c>
    </row>
    <row r="1207" spans="1:6" x14ac:dyDescent="0.45">
      <c r="A1207" s="1">
        <v>46000</v>
      </c>
      <c r="B1207">
        <v>625.04999999999995</v>
      </c>
      <c r="C1207">
        <v>37156000</v>
      </c>
      <c r="D1207">
        <v>623.01</v>
      </c>
      <c r="E1207">
        <v>625.87</v>
      </c>
      <c r="F1207">
        <v>621</v>
      </c>
    </row>
    <row r="1208" spans="1:6" x14ac:dyDescent="0.45">
      <c r="A1208" s="1">
        <v>46001</v>
      </c>
      <c r="B1208">
        <v>627.61</v>
      </c>
      <c r="C1208">
        <v>55031380</v>
      </c>
      <c r="D1208">
        <v>623.85</v>
      </c>
      <c r="E1208">
        <v>629.21</v>
      </c>
      <c r="F1208">
        <v>620.99</v>
      </c>
    </row>
    <row r="1209" spans="1:6" x14ac:dyDescent="0.45">
      <c r="A1209" s="1">
        <v>46002</v>
      </c>
      <c r="B1209">
        <v>625.58000000000004</v>
      </c>
      <c r="C1209">
        <v>58272840</v>
      </c>
      <c r="D1209">
        <v>623.82000000000005</v>
      </c>
      <c r="E1209">
        <v>625.78</v>
      </c>
      <c r="F1209">
        <v>617.72</v>
      </c>
    </row>
    <row r="1210" spans="1:6" x14ac:dyDescent="0.45">
      <c r="A1210" s="1">
        <v>46003</v>
      </c>
      <c r="B1210">
        <v>613.62</v>
      </c>
      <c r="C1210">
        <v>75158730</v>
      </c>
      <c r="D1210">
        <v>622.08000000000004</v>
      </c>
      <c r="E1210">
        <v>623.54</v>
      </c>
      <c r="F1210">
        <v>611.36</v>
      </c>
    </row>
    <row r="1211" spans="1:6" x14ac:dyDescent="0.45">
      <c r="A1211" s="1">
        <v>46006</v>
      </c>
      <c r="B1211">
        <v>610.54</v>
      </c>
      <c r="C1211">
        <v>49538200</v>
      </c>
      <c r="D1211">
        <v>618.37</v>
      </c>
      <c r="E1211">
        <v>618.41999999999996</v>
      </c>
      <c r="F1211">
        <v>609.32000000000005</v>
      </c>
    </row>
    <row r="1212" spans="1:6" x14ac:dyDescent="0.45">
      <c r="A1212" s="1">
        <v>46007</v>
      </c>
      <c r="B1212">
        <v>611.75</v>
      </c>
      <c r="C1212">
        <v>55152820</v>
      </c>
      <c r="D1212">
        <v>608.26</v>
      </c>
      <c r="E1212">
        <v>613.51</v>
      </c>
      <c r="F1212">
        <v>606.91010000000006</v>
      </c>
    </row>
    <row r="1213" spans="1:6" x14ac:dyDescent="0.45">
      <c r="A1213" s="1">
        <v>46008</v>
      </c>
      <c r="B1213">
        <v>600.41</v>
      </c>
      <c r="C1213">
        <v>70654330</v>
      </c>
      <c r="D1213">
        <v>613.05999999999995</v>
      </c>
      <c r="E1213">
        <v>613.65</v>
      </c>
      <c r="F1213">
        <v>600.28</v>
      </c>
    </row>
    <row r="1214" spans="1:6" x14ac:dyDescent="0.45">
      <c r="A1214" s="1">
        <v>46009</v>
      </c>
      <c r="B1214">
        <v>609.11</v>
      </c>
      <c r="C1214">
        <v>78875820</v>
      </c>
      <c r="D1214">
        <v>609.79999999999995</v>
      </c>
      <c r="E1214">
        <v>612.92999999999995</v>
      </c>
      <c r="F1214">
        <v>606.91999999999996</v>
      </c>
    </row>
    <row r="1215" spans="1:6" x14ac:dyDescent="0.45">
      <c r="A1215" s="1">
        <v>46010</v>
      </c>
      <c r="B1215">
        <v>617.04999999999995</v>
      </c>
      <c r="C1215">
        <v>60369830</v>
      </c>
      <c r="D1215">
        <v>611.95000000000005</v>
      </c>
      <c r="E1215">
        <v>617.62</v>
      </c>
      <c r="F1215">
        <v>611.87</v>
      </c>
    </row>
    <row r="1216" spans="1:6" x14ac:dyDescent="0.45">
      <c r="A1216" s="1">
        <v>46013</v>
      </c>
      <c r="B1216">
        <v>619.21</v>
      </c>
      <c r="C1216">
        <v>43703100</v>
      </c>
      <c r="D1216">
        <v>621.35</v>
      </c>
      <c r="E1216">
        <v>621.65</v>
      </c>
      <c r="F1216">
        <v>617.77</v>
      </c>
    </row>
    <row r="1217" spans="1:6" x14ac:dyDescent="0.45">
      <c r="A1217" s="1">
        <v>46014</v>
      </c>
      <c r="B1217">
        <v>622.11</v>
      </c>
      <c r="C1217">
        <v>41120450</v>
      </c>
      <c r="D1217">
        <v>618.20000000000005</v>
      </c>
      <c r="E1217">
        <v>622.41</v>
      </c>
      <c r="F1217">
        <v>617.78</v>
      </c>
    </row>
    <row r="1218" spans="1:6" x14ac:dyDescent="0.45">
      <c r="A1218" s="1">
        <v>46015</v>
      </c>
      <c r="B1218">
        <v>623.92999999999995</v>
      </c>
      <c r="C1218">
        <v>18468710</v>
      </c>
      <c r="D1218">
        <v>621.99</v>
      </c>
      <c r="E1218">
        <v>624.28</v>
      </c>
      <c r="F1218">
        <v>621.72</v>
      </c>
    </row>
    <row r="1219" spans="1:6" x14ac:dyDescent="0.45">
      <c r="A1219" s="1">
        <v>46017</v>
      </c>
      <c r="B1219">
        <v>623.89</v>
      </c>
      <c r="C1219">
        <v>28959780</v>
      </c>
      <c r="D1219">
        <v>624.66</v>
      </c>
      <c r="E1219">
        <v>625.51499999999999</v>
      </c>
      <c r="F1219">
        <v>623.14</v>
      </c>
    </row>
    <row r="1220" spans="1:6" x14ac:dyDescent="0.45">
      <c r="A1220" s="1">
        <v>46020</v>
      </c>
      <c r="B1220">
        <v>620.87</v>
      </c>
      <c r="C1220">
        <v>32458310</v>
      </c>
      <c r="D1220">
        <v>620.1</v>
      </c>
      <c r="E1220">
        <v>622.78</v>
      </c>
      <c r="F1220">
        <v>618.73</v>
      </c>
    </row>
    <row r="1221" spans="1:6" x14ac:dyDescent="0.45">
      <c r="A1221" s="1">
        <v>46021</v>
      </c>
      <c r="B1221">
        <v>619.42999999999995</v>
      </c>
      <c r="C1221">
        <v>31226750</v>
      </c>
      <c r="D1221">
        <v>619.84</v>
      </c>
      <c r="E1221">
        <v>622.17999999999995</v>
      </c>
      <c r="F1221">
        <v>619.21500000000003</v>
      </c>
    </row>
    <row r="1222" spans="1:6" x14ac:dyDescent="0.45">
      <c r="A1222" s="1">
        <v>46022</v>
      </c>
      <c r="B1222">
        <v>614.30999999999995</v>
      </c>
      <c r="C1222">
        <v>40746530</v>
      </c>
      <c r="D1222">
        <v>619.65</v>
      </c>
      <c r="E1222">
        <v>619.96</v>
      </c>
      <c r="F1222">
        <v>614.04999999999995</v>
      </c>
    </row>
    <row r="1223" spans="1:6" x14ac:dyDescent="0.45">
      <c r="A1223" s="1">
        <v>46024</v>
      </c>
      <c r="B1223">
        <v>613.12</v>
      </c>
      <c r="C1223">
        <v>61859160</v>
      </c>
      <c r="D1223">
        <v>620.05999999999995</v>
      </c>
      <c r="E1223">
        <v>622.85</v>
      </c>
      <c r="F1223">
        <v>610.15</v>
      </c>
    </row>
    <row r="1224" spans="1:6" x14ac:dyDescent="0.45">
      <c r="A1224" s="1">
        <v>46027</v>
      </c>
      <c r="B1224">
        <v>617.99</v>
      </c>
      <c r="C1224">
        <v>46828360</v>
      </c>
      <c r="D1224">
        <v>619.32000000000005</v>
      </c>
      <c r="E1224">
        <v>620.80999999999995</v>
      </c>
      <c r="F1224">
        <v>616.72</v>
      </c>
    </row>
    <row r="1225" spans="1:6" x14ac:dyDescent="0.45">
      <c r="A1225" s="1">
        <v>46028</v>
      </c>
      <c r="B1225">
        <v>623.41999999999996</v>
      </c>
      <c r="C1225">
        <v>43137520</v>
      </c>
      <c r="D1225">
        <v>619.23</v>
      </c>
      <c r="E1225">
        <v>624.0213</v>
      </c>
      <c r="F1225">
        <v>618.54</v>
      </c>
    </row>
    <row r="1226" spans="1:6" x14ac:dyDescent="0.45">
      <c r="A1226" s="1">
        <v>46029</v>
      </c>
      <c r="B1226">
        <v>624.02</v>
      </c>
      <c r="C1226">
        <v>44880340</v>
      </c>
      <c r="D1226">
        <v>623.04</v>
      </c>
      <c r="E1226">
        <v>627.94000000000005</v>
      </c>
      <c r="F1226">
        <v>622.55999999999995</v>
      </c>
    </row>
    <row r="1227" spans="1:6" x14ac:dyDescent="0.45">
      <c r="A1227" s="1">
        <v>46030</v>
      </c>
      <c r="B1227">
        <v>620.47</v>
      </c>
      <c r="C1227">
        <v>50435940</v>
      </c>
      <c r="D1227">
        <v>623.03</v>
      </c>
      <c r="E1227">
        <v>623.41999999999996</v>
      </c>
      <c r="F1227">
        <v>617.79999999999995</v>
      </c>
    </row>
    <row r="1228" spans="1:6" x14ac:dyDescent="0.45">
      <c r="A1228" s="1">
        <v>46031</v>
      </c>
      <c r="B1228">
        <v>626.65</v>
      </c>
      <c r="C1228">
        <v>49688730</v>
      </c>
      <c r="D1228">
        <v>621.41</v>
      </c>
      <c r="E1228">
        <v>627.89</v>
      </c>
      <c r="F1228">
        <v>619.05999999999995</v>
      </c>
    </row>
    <row r="1229" spans="1:6" x14ac:dyDescent="0.45">
      <c r="A1229" s="1">
        <v>46034</v>
      </c>
      <c r="B1229">
        <v>627.16999999999996</v>
      </c>
      <c r="C1229">
        <v>37388650</v>
      </c>
      <c r="D1229">
        <v>622.30999999999995</v>
      </c>
      <c r="E1229">
        <v>628.84500000000003</v>
      </c>
      <c r="F1229">
        <v>622.26</v>
      </c>
    </row>
    <row r="1230" spans="1:6" x14ac:dyDescent="0.45">
      <c r="A1230" s="1">
        <v>46035</v>
      </c>
      <c r="B1230">
        <v>626.24</v>
      </c>
      <c r="C1230">
        <v>44481380</v>
      </c>
      <c r="D1230">
        <v>627.27</v>
      </c>
      <c r="E1230">
        <v>629.47</v>
      </c>
      <c r="F1230">
        <v>623.69500000000005</v>
      </c>
    </row>
    <row r="1231" spans="1:6" x14ac:dyDescent="0.45">
      <c r="A1231" s="1">
        <v>46036</v>
      </c>
      <c r="B1231">
        <v>619.54999999999995</v>
      </c>
      <c r="C1231">
        <v>72598700</v>
      </c>
      <c r="D1231">
        <v>622.24</v>
      </c>
      <c r="E1231">
        <v>623.45000000000005</v>
      </c>
      <c r="F1231">
        <v>614.55999999999995</v>
      </c>
    </row>
    <row r="1232" spans="1:6" x14ac:dyDescent="0.45">
      <c r="A1232" s="1">
        <v>46037</v>
      </c>
      <c r="B1232">
        <v>621.78</v>
      </c>
      <c r="C1232">
        <v>53934890</v>
      </c>
      <c r="D1232">
        <v>626.6</v>
      </c>
      <c r="E1232">
        <v>630</v>
      </c>
      <c r="F1232">
        <v>620.75</v>
      </c>
    </row>
    <row r="1233" spans="1:6" x14ac:dyDescent="0.45">
      <c r="A1233" s="1">
        <v>46038</v>
      </c>
      <c r="B1233">
        <v>621.26</v>
      </c>
      <c r="C1233">
        <v>61058090</v>
      </c>
      <c r="D1233">
        <v>625.5</v>
      </c>
      <c r="E1233">
        <v>626.08000000000004</v>
      </c>
      <c r="F1233">
        <v>618.88</v>
      </c>
    </row>
    <row r="1234" spans="1:6" x14ac:dyDescent="0.45">
      <c r="A1234" s="1">
        <v>46042</v>
      </c>
      <c r="B1234">
        <v>608.05999999999995</v>
      </c>
      <c r="C1234">
        <v>81988900</v>
      </c>
      <c r="D1234">
        <v>610.53</v>
      </c>
      <c r="E1234">
        <v>615.05499999999995</v>
      </c>
      <c r="F1234">
        <v>607.04999999999995</v>
      </c>
    </row>
    <row r="1235" spans="1:6" x14ac:dyDescent="0.45">
      <c r="A1235" s="1">
        <v>46043</v>
      </c>
      <c r="B1235">
        <v>616.28</v>
      </c>
      <c r="C1235">
        <v>79837880</v>
      </c>
      <c r="D1235">
        <v>609.47</v>
      </c>
      <c r="E1235">
        <v>620.41999999999996</v>
      </c>
      <c r="F1235">
        <v>607.86350000000004</v>
      </c>
    </row>
    <row r="1236" spans="1:6" x14ac:dyDescent="0.45">
      <c r="A1236" s="1">
        <v>46044</v>
      </c>
      <c r="B1236">
        <v>620.76</v>
      </c>
      <c r="C1236">
        <v>42254760</v>
      </c>
      <c r="D1236">
        <v>622.35</v>
      </c>
      <c r="E1236">
        <v>622.46</v>
      </c>
      <c r="F1236">
        <v>617.78</v>
      </c>
    </row>
    <row r="1237" spans="1:6" x14ac:dyDescent="0.45">
      <c r="A1237" s="1">
        <v>46045</v>
      </c>
      <c r="B1237">
        <v>622.72</v>
      </c>
      <c r="C1237">
        <v>43645830</v>
      </c>
      <c r="D1237">
        <v>619.73</v>
      </c>
      <c r="E1237">
        <v>625.3999</v>
      </c>
      <c r="F1237">
        <v>618.65</v>
      </c>
    </row>
    <row r="1238" spans="1:6" x14ac:dyDescent="0.45">
      <c r="A1238" s="1">
        <v>46048</v>
      </c>
      <c r="B1238">
        <v>625.46</v>
      </c>
      <c r="C1238">
        <v>35983010</v>
      </c>
      <c r="D1238">
        <v>623.21</v>
      </c>
      <c r="E1238">
        <v>627.61</v>
      </c>
      <c r="F1238">
        <v>622.12</v>
      </c>
    </row>
    <row r="1239" spans="1:6" x14ac:dyDescent="0.45">
      <c r="A1239" s="1">
        <v>46049</v>
      </c>
      <c r="B1239">
        <v>631.13</v>
      </c>
      <c r="C1239">
        <v>38997210</v>
      </c>
      <c r="D1239">
        <v>628.91</v>
      </c>
      <c r="E1239">
        <v>632.04269999999997</v>
      </c>
      <c r="F1239">
        <v>627.34</v>
      </c>
    </row>
    <row r="1240" spans="1:6" x14ac:dyDescent="0.45">
      <c r="A1240" s="1">
        <v>46050</v>
      </c>
      <c r="B1240">
        <v>633.22</v>
      </c>
      <c r="C1240">
        <v>50691690</v>
      </c>
      <c r="D1240">
        <v>635.46</v>
      </c>
      <c r="E1240">
        <v>636.6</v>
      </c>
      <c r="F1240">
        <v>631.80999999999995</v>
      </c>
    </row>
    <row r="1241" spans="1:6" x14ac:dyDescent="0.45">
      <c r="A1241" s="1">
        <v>46051</v>
      </c>
      <c r="B1241">
        <v>629.42999999999995</v>
      </c>
      <c r="C1241">
        <v>79944050</v>
      </c>
      <c r="D1241">
        <v>632.65</v>
      </c>
      <c r="E1241">
        <v>633.66999999999996</v>
      </c>
      <c r="F1241">
        <v>618.27</v>
      </c>
    </row>
    <row r="1242" spans="1:6" x14ac:dyDescent="0.45">
      <c r="A1242" s="1">
        <v>46052</v>
      </c>
      <c r="B1242">
        <v>621.87</v>
      </c>
      <c r="C1242">
        <v>65650710</v>
      </c>
      <c r="D1242">
        <v>625.71</v>
      </c>
      <c r="E1242">
        <v>628.25599999999997</v>
      </c>
      <c r="F1242">
        <v>619.29750000000001</v>
      </c>
    </row>
    <row r="1243" spans="1:6" x14ac:dyDescent="0.45">
      <c r="A1243" s="1">
        <v>46055</v>
      </c>
      <c r="B1243">
        <v>626.14</v>
      </c>
      <c r="C1243">
        <v>49020290</v>
      </c>
      <c r="D1243">
        <v>618.70000000000005</v>
      </c>
      <c r="E1243">
        <v>628.49</v>
      </c>
      <c r="F1243">
        <v>618.66</v>
      </c>
    </row>
    <row r="1244" spans="1:6" x14ac:dyDescent="0.45">
      <c r="A1244" s="1">
        <v>46056</v>
      </c>
      <c r="B1244">
        <v>616.52</v>
      </c>
      <c r="C1244">
        <v>81233970</v>
      </c>
      <c r="D1244">
        <v>628.29999999999995</v>
      </c>
      <c r="E1244">
        <v>629.98</v>
      </c>
      <c r="F1244">
        <v>610.96</v>
      </c>
    </row>
    <row r="1245" spans="1:6" x14ac:dyDescent="0.45">
      <c r="A1245" s="1">
        <v>46057</v>
      </c>
      <c r="B1245">
        <v>605.75</v>
      </c>
      <c r="C1245">
        <v>81850750</v>
      </c>
      <c r="D1245">
        <v>615.02</v>
      </c>
      <c r="E1245">
        <v>615.1</v>
      </c>
      <c r="F1245">
        <v>600.47</v>
      </c>
    </row>
    <row r="1246" spans="1:6" x14ac:dyDescent="0.45">
      <c r="A1246" s="1">
        <v>46058</v>
      </c>
      <c r="B1246">
        <v>597.03</v>
      </c>
      <c r="C1246">
        <v>89354490</v>
      </c>
      <c r="D1246">
        <v>600.21</v>
      </c>
      <c r="E1246">
        <v>604.80999999999995</v>
      </c>
      <c r="F1246">
        <v>594.76</v>
      </c>
    </row>
    <row r="1247" spans="1:6" x14ac:dyDescent="0.45">
      <c r="A1247" s="1">
        <v>46059</v>
      </c>
      <c r="B1247">
        <v>609.65</v>
      </c>
      <c r="C1247">
        <v>78019340</v>
      </c>
      <c r="D1247">
        <v>600.19000000000005</v>
      </c>
      <c r="E1247">
        <v>611.41</v>
      </c>
      <c r="F1247">
        <v>598.77</v>
      </c>
    </row>
    <row r="1248" spans="1:6" x14ac:dyDescent="0.45">
      <c r="A1248" s="1">
        <v>46062</v>
      </c>
      <c r="B1248">
        <v>614.32000000000005</v>
      </c>
      <c r="C1248">
        <v>56797560</v>
      </c>
      <c r="D1248">
        <v>607.54</v>
      </c>
      <c r="E1248">
        <v>616.46</v>
      </c>
      <c r="F1248">
        <v>605.07000000000005</v>
      </c>
    </row>
    <row r="1249" spans="1:6" x14ac:dyDescent="0.45">
      <c r="A1249" s="1">
        <v>46063</v>
      </c>
      <c r="B1249">
        <v>611.47</v>
      </c>
      <c r="C1249">
        <v>53938860</v>
      </c>
      <c r="D1249">
        <v>615.30499999999995</v>
      </c>
      <c r="E1249">
        <v>617.02</v>
      </c>
      <c r="F1249">
        <v>611.01</v>
      </c>
    </row>
    <row r="1250" spans="1:6" x14ac:dyDescent="0.45">
      <c r="A1250" s="1">
        <v>46064</v>
      </c>
      <c r="B1250">
        <v>613.11</v>
      </c>
      <c r="C1250">
        <v>58575100</v>
      </c>
      <c r="D1250">
        <v>616.38</v>
      </c>
      <c r="E1250">
        <v>617.52</v>
      </c>
      <c r="F1250">
        <v>607.69000000000005</v>
      </c>
    </row>
    <row r="1251" spans="1:6" x14ac:dyDescent="0.45">
      <c r="A1251" s="1">
        <v>46065</v>
      </c>
      <c r="B1251">
        <v>600.64</v>
      </c>
      <c r="C1251">
        <v>81378900</v>
      </c>
      <c r="D1251">
        <v>614.71</v>
      </c>
      <c r="E1251">
        <v>615.80999999999995</v>
      </c>
      <c r="F1251">
        <v>599.56989999999996</v>
      </c>
    </row>
    <row r="1252" spans="1:6" x14ac:dyDescent="0.45">
      <c r="A1252" s="1">
        <v>46066</v>
      </c>
      <c r="B1252">
        <v>601.91999999999996</v>
      </c>
      <c r="C1252">
        <v>69237550</v>
      </c>
      <c r="D1252">
        <v>600.42999999999995</v>
      </c>
      <c r="E1252">
        <v>606.48</v>
      </c>
      <c r="F1252">
        <v>596.41999999999996</v>
      </c>
    </row>
    <row r="1253" spans="1:6" x14ac:dyDescent="0.45">
      <c r="A1253" s="1">
        <v>46070</v>
      </c>
      <c r="B1253">
        <v>601.29999999999995</v>
      </c>
      <c r="C1253">
        <v>69013760</v>
      </c>
      <c r="D1253">
        <v>598.375</v>
      </c>
      <c r="E1253">
        <v>603.95000000000005</v>
      </c>
      <c r="F1253">
        <v>593.34</v>
      </c>
    </row>
    <row r="1254" spans="1:6" x14ac:dyDescent="0.45">
      <c r="A1254" s="1">
        <v>46071</v>
      </c>
      <c r="B1254">
        <v>605.79</v>
      </c>
      <c r="C1254">
        <v>64250670</v>
      </c>
      <c r="D1254">
        <v>602.11</v>
      </c>
      <c r="E1254">
        <v>609.77099999999996</v>
      </c>
      <c r="F1254">
        <v>600.72</v>
      </c>
    </row>
    <row r="1255" spans="1:6" x14ac:dyDescent="0.45">
      <c r="A1255" s="1">
        <v>46072</v>
      </c>
      <c r="B1255">
        <v>603.47</v>
      </c>
      <c r="C1255">
        <v>60960840</v>
      </c>
      <c r="D1255">
        <v>602.80999999999995</v>
      </c>
      <c r="E1255">
        <v>605.81500000000005</v>
      </c>
      <c r="F1255">
        <v>600.75</v>
      </c>
    </row>
    <row r="1256" spans="1:6" x14ac:dyDescent="0.45">
      <c r="A1256" s="1">
        <v>46073</v>
      </c>
      <c r="B1256">
        <v>608.80999999999995</v>
      </c>
      <c r="C1256">
        <v>74127320</v>
      </c>
      <c r="D1256">
        <v>600.12</v>
      </c>
      <c r="E1256">
        <v>610.35</v>
      </c>
      <c r="F1256">
        <v>599.23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A254-3235-42BA-82E7-488A5242FA8C}">
  <dimension ref="A1:H1256"/>
  <sheetViews>
    <sheetView workbookViewId="0">
      <selection activeCell="K19" sqref="K19"/>
    </sheetView>
  </sheetViews>
  <sheetFormatPr defaultRowHeight="14.25" x14ac:dyDescent="0.45"/>
  <cols>
    <col min="1" max="1" width="12.796875" customWidth="1"/>
    <col min="2" max="2" width="14.86328125" customWidth="1"/>
    <col min="3" max="3" width="11.1328125" customWidth="1"/>
    <col min="4" max="4" width="14.59765625" customWidth="1"/>
    <col min="5" max="5" width="13.86328125" customWidth="1"/>
    <col min="6" max="6" width="12.265625" customWidth="1"/>
    <col min="7" max="7" width="14.86328125" customWidth="1"/>
  </cols>
  <sheetData>
    <row r="1" spans="1:8" x14ac:dyDescent="0.4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8" x14ac:dyDescent="0.45">
      <c r="A2" s="1">
        <v>44250</v>
      </c>
      <c r="B2">
        <v>321.48</v>
      </c>
      <c r="D2">
        <f>1</f>
        <v>1</v>
      </c>
      <c r="E2">
        <f>D2</f>
        <v>1</v>
      </c>
      <c r="F2">
        <f>0</f>
        <v>0</v>
      </c>
      <c r="H2" s="1"/>
    </row>
    <row r="3" spans="1:8" x14ac:dyDescent="0.45">
      <c r="A3" s="1">
        <v>44251</v>
      </c>
      <c r="B3">
        <v>324.13</v>
      </c>
      <c r="C3">
        <f>IFERROR((B3/B2)-1,"")</f>
        <v>8.2431255443573548E-3</v>
      </c>
      <c r="D3">
        <f>D2*(1+C3)</f>
        <v>1.0082431255443574</v>
      </c>
      <c r="E3">
        <f>MAX(E2,D3)</f>
        <v>1.0082431255443574</v>
      </c>
      <c r="F3">
        <f>D3/E3-1</f>
        <v>0</v>
      </c>
      <c r="H3" s="1"/>
    </row>
    <row r="4" spans="1:8" x14ac:dyDescent="0.45">
      <c r="A4" s="1">
        <v>44252</v>
      </c>
      <c r="B4">
        <v>312.83</v>
      </c>
      <c r="C4">
        <f t="shared" ref="C4:C67" si="0">IFERROR((B4/B3)-1,"")</f>
        <v>-3.486255514762604E-2</v>
      </c>
      <c r="D4">
        <f t="shared" ref="D4:D67" si="1">D3*(1+C4)</f>
        <v>0.97309319397785232</v>
      </c>
      <c r="E4">
        <f t="shared" ref="E4:E67" si="2">MAX(E3,D4)</f>
        <v>1.0082431255443574</v>
      </c>
      <c r="F4">
        <f t="shared" ref="F4:F67" si="3">D4/E4-1</f>
        <v>-3.486255514762604E-2</v>
      </c>
      <c r="H4" s="1"/>
    </row>
    <row r="5" spans="1:8" x14ac:dyDescent="0.45">
      <c r="A5" s="1">
        <v>44253</v>
      </c>
      <c r="B5">
        <v>314.14</v>
      </c>
      <c r="C5">
        <f t="shared" si="0"/>
        <v>4.1875779177189543E-3</v>
      </c>
      <c r="D5">
        <f t="shared" si="1"/>
        <v>0.9771680975488366</v>
      </c>
      <c r="E5">
        <f t="shared" si="2"/>
        <v>1.0082431255443574</v>
      </c>
      <c r="F5">
        <f t="shared" si="3"/>
        <v>-3.0820966895998558E-2</v>
      </c>
      <c r="H5" s="1"/>
    </row>
    <row r="6" spans="1:8" x14ac:dyDescent="0.45">
      <c r="A6" s="1">
        <v>44256</v>
      </c>
      <c r="B6">
        <v>323.58999999999997</v>
      </c>
      <c r="C6">
        <f t="shared" si="0"/>
        <v>3.0082128987075851E-2</v>
      </c>
      <c r="D6">
        <f t="shared" si="1"/>
        <v>1.0065633943013563</v>
      </c>
      <c r="E6">
        <f t="shared" si="2"/>
        <v>1.0082431255443574</v>
      </c>
      <c r="F6">
        <f t="shared" si="3"/>
        <v>-1.6659982105944326E-3</v>
      </c>
      <c r="H6" s="1"/>
    </row>
    <row r="7" spans="1:8" x14ac:dyDescent="0.45">
      <c r="A7" s="1">
        <v>44257</v>
      </c>
      <c r="B7">
        <v>318.39999999999998</v>
      </c>
      <c r="C7">
        <f t="shared" si="0"/>
        <v>-1.603881454927536E-2</v>
      </c>
      <c r="D7">
        <f t="shared" si="1"/>
        <v>0.99041931068806777</v>
      </c>
      <c r="E7">
        <f t="shared" si="2"/>
        <v>1.0082431255443574</v>
      </c>
      <c r="F7">
        <f t="shared" si="3"/>
        <v>-1.7678092123530664E-2</v>
      </c>
      <c r="H7" s="1"/>
    </row>
    <row r="8" spans="1:8" x14ac:dyDescent="0.45">
      <c r="A8" s="1">
        <v>44258</v>
      </c>
      <c r="B8">
        <v>309.16000000000003</v>
      </c>
      <c r="C8">
        <f t="shared" si="0"/>
        <v>-2.9020100502512469E-2</v>
      </c>
      <c r="D8">
        <f t="shared" si="1"/>
        <v>0.96167724275227096</v>
      </c>
      <c r="E8">
        <f t="shared" si="2"/>
        <v>1.0082431255443574</v>
      </c>
      <c r="F8">
        <f t="shared" si="3"/>
        <v>-4.6185172615925474E-2</v>
      </c>
      <c r="H8" s="1"/>
    </row>
    <row r="9" spans="1:8" x14ac:dyDescent="0.45">
      <c r="A9" s="1">
        <v>44259</v>
      </c>
      <c r="B9">
        <v>304.10000000000002</v>
      </c>
      <c r="C9">
        <f t="shared" si="0"/>
        <v>-1.6366929745115777E-2</v>
      </c>
      <c r="D9">
        <f t="shared" si="1"/>
        <v>0.94593753888266785</v>
      </c>
      <c r="E9">
        <f t="shared" si="2"/>
        <v>1.0082431255443574</v>
      </c>
      <c r="F9">
        <f t="shared" si="3"/>
        <v>-6.1796192885570478E-2</v>
      </c>
      <c r="H9" s="1"/>
    </row>
    <row r="10" spans="1:8" x14ac:dyDescent="0.45">
      <c r="A10" s="1">
        <v>44260</v>
      </c>
      <c r="B10">
        <v>308.68</v>
      </c>
      <c r="C10">
        <f t="shared" si="0"/>
        <v>1.5060835251561988E-2</v>
      </c>
      <c r="D10">
        <f t="shared" si="1"/>
        <v>0.96018414831404775</v>
      </c>
      <c r="E10">
        <f t="shared" si="2"/>
        <v>1.0082431255443574</v>
      </c>
      <c r="F10">
        <f t="shared" si="3"/>
        <v>-4.7666059914231784E-2</v>
      </c>
      <c r="H10" s="1"/>
    </row>
    <row r="11" spans="1:8" x14ac:dyDescent="0.45">
      <c r="A11" s="1">
        <v>44263</v>
      </c>
      <c r="B11">
        <v>299.94</v>
      </c>
      <c r="C11">
        <f t="shared" si="0"/>
        <v>-2.8314111701438383E-2</v>
      </c>
      <c r="D11">
        <f t="shared" si="1"/>
        <v>0.93299738708473334</v>
      </c>
      <c r="E11">
        <f t="shared" si="2"/>
        <v>1.0082431255443574</v>
      </c>
      <c r="F11">
        <f t="shared" si="3"/>
        <v>-7.4630549470891094E-2</v>
      </c>
      <c r="H11" s="1"/>
    </row>
    <row r="12" spans="1:8" x14ac:dyDescent="0.45">
      <c r="A12" s="1">
        <v>44264</v>
      </c>
      <c r="B12">
        <v>311.77</v>
      </c>
      <c r="C12">
        <f t="shared" si="0"/>
        <v>3.9441221577648733E-2</v>
      </c>
      <c r="D12">
        <f t="shared" si="1"/>
        <v>0.96979594376010958</v>
      </c>
      <c r="E12">
        <f t="shared" si="2"/>
        <v>1.0082431255443574</v>
      </c>
      <c r="F12">
        <f t="shared" si="3"/>
        <v>-3.8132847931385494E-2</v>
      </c>
      <c r="H12" s="1"/>
    </row>
    <row r="13" spans="1:8" x14ac:dyDescent="0.45">
      <c r="A13" s="1">
        <v>44265</v>
      </c>
      <c r="B13">
        <v>310.88</v>
      </c>
      <c r="C13">
        <f t="shared" si="0"/>
        <v>-2.8546685056290988E-3</v>
      </c>
      <c r="D13">
        <f t="shared" si="1"/>
        <v>0.96702749782257069</v>
      </c>
      <c r="E13">
        <f t="shared" si="2"/>
        <v>1.0082431255443574</v>
      </c>
      <c r="F13">
        <f t="shared" si="3"/>
        <v>-4.0878659796995009E-2</v>
      </c>
      <c r="H13" s="1"/>
    </row>
    <row r="14" spans="1:8" x14ac:dyDescent="0.45">
      <c r="A14" s="1">
        <v>44266</v>
      </c>
      <c r="B14">
        <v>318.04000000000002</v>
      </c>
      <c r="C14">
        <f t="shared" si="0"/>
        <v>2.303139475038618E-2</v>
      </c>
      <c r="D14">
        <f t="shared" si="1"/>
        <v>0.98929948985940053</v>
      </c>
      <c r="E14">
        <f t="shared" si="2"/>
        <v>1.0082431255443574</v>
      </c>
      <c r="F14">
        <f t="shared" si="3"/>
        <v>-1.8788757597260064E-2</v>
      </c>
      <c r="H14" s="1"/>
    </row>
    <row r="15" spans="1:8" x14ac:dyDescent="0.45">
      <c r="A15" s="1">
        <v>44267</v>
      </c>
      <c r="B15">
        <v>315.45999999999998</v>
      </c>
      <c r="C15">
        <f t="shared" si="0"/>
        <v>-8.1121871462710438E-3</v>
      </c>
      <c r="D15">
        <f t="shared" si="1"/>
        <v>0.98127410725395059</v>
      </c>
      <c r="E15">
        <f t="shared" si="2"/>
        <v>1.0082431255443574</v>
      </c>
      <c r="F15">
        <f t="shared" si="3"/>
        <v>-2.6748526825656316E-2</v>
      </c>
      <c r="H15" s="1"/>
    </row>
    <row r="16" spans="1:8" x14ac:dyDescent="0.45">
      <c r="A16" s="1">
        <v>44270</v>
      </c>
      <c r="B16">
        <v>318.83</v>
      </c>
      <c r="C16">
        <f t="shared" si="0"/>
        <v>1.068281240093838E-2</v>
      </c>
      <c r="D16">
        <f t="shared" si="1"/>
        <v>0.99175687445564287</v>
      </c>
      <c r="E16">
        <f t="shared" si="2"/>
        <v>1.0082431255443574</v>
      </c>
      <c r="F16">
        <f t="shared" si="3"/>
        <v>-1.6351463918797826E-2</v>
      </c>
      <c r="H16" s="1"/>
    </row>
    <row r="17" spans="1:8" x14ac:dyDescent="0.45">
      <c r="A17" s="1">
        <v>44271</v>
      </c>
      <c r="B17">
        <v>320.58</v>
      </c>
      <c r="C17">
        <f t="shared" si="0"/>
        <v>5.488818492613623E-3</v>
      </c>
      <c r="D17">
        <f t="shared" si="1"/>
        <v>0.99720044792833173</v>
      </c>
      <c r="E17">
        <f t="shared" si="2"/>
        <v>1.0082431255443574</v>
      </c>
      <c r="F17">
        <f t="shared" si="3"/>
        <v>-1.0952395643722967E-2</v>
      </c>
      <c r="H17" s="1"/>
    </row>
    <row r="18" spans="1:8" x14ac:dyDescent="0.45">
      <c r="A18" s="1">
        <v>44272</v>
      </c>
      <c r="B18">
        <v>321.89999999999998</v>
      </c>
      <c r="C18">
        <f t="shared" si="0"/>
        <v>4.1175369642523219E-3</v>
      </c>
      <c r="D18">
        <f t="shared" si="1"/>
        <v>1.0013064576334456</v>
      </c>
      <c r="E18">
        <f t="shared" si="2"/>
        <v>1.0082431255443574</v>
      </c>
      <c r="F18">
        <f t="shared" si="3"/>
        <v>-6.8799555733807249E-3</v>
      </c>
      <c r="H18" s="1"/>
    </row>
    <row r="19" spans="1:8" x14ac:dyDescent="0.45">
      <c r="A19" s="1">
        <v>44273</v>
      </c>
      <c r="B19">
        <v>312.04000000000002</v>
      </c>
      <c r="C19">
        <f t="shared" si="0"/>
        <v>-3.063063063063054E-2</v>
      </c>
      <c r="D19">
        <f t="shared" si="1"/>
        <v>0.97063580938161043</v>
      </c>
      <c r="E19">
        <f t="shared" si="2"/>
        <v>1.0082431255443574</v>
      </c>
      <c r="F19">
        <f t="shared" si="3"/>
        <v>-3.7299848826087945E-2</v>
      </c>
      <c r="H19" s="1"/>
    </row>
    <row r="20" spans="1:8" x14ac:dyDescent="0.45">
      <c r="A20" s="1">
        <v>44274</v>
      </c>
      <c r="B20">
        <v>313.14</v>
      </c>
      <c r="C20">
        <f t="shared" si="0"/>
        <v>3.5251890783232209E-3</v>
      </c>
      <c r="D20">
        <f t="shared" si="1"/>
        <v>0.9740574841358719</v>
      </c>
      <c r="E20">
        <f t="shared" si="2"/>
        <v>1.0082431255443574</v>
      </c>
      <c r="F20">
        <f t="shared" si="3"/>
        <v>-3.3906148767469557E-2</v>
      </c>
      <c r="H20" s="1"/>
    </row>
    <row r="21" spans="1:8" x14ac:dyDescent="0.45">
      <c r="A21" s="1">
        <v>44277</v>
      </c>
      <c r="B21">
        <v>318.61</v>
      </c>
      <c r="C21">
        <f t="shared" si="0"/>
        <v>1.7468225075046417E-2</v>
      </c>
      <c r="D21">
        <f t="shared" si="1"/>
        <v>0.99107253950479079</v>
      </c>
      <c r="E21">
        <f t="shared" si="2"/>
        <v>1.0082431255443574</v>
      </c>
      <c r="F21">
        <f t="shared" si="3"/>
        <v>-1.7030203930521237E-2</v>
      </c>
      <c r="G21">
        <f>_xlfn.STDEV.S(C2:C21)*SQRT(252)</f>
        <v>0.3383540270126838</v>
      </c>
      <c r="H21" s="1"/>
    </row>
    <row r="22" spans="1:8" x14ac:dyDescent="0.45">
      <c r="A22" s="1">
        <v>44278</v>
      </c>
      <c r="B22">
        <v>317.22000000000003</v>
      </c>
      <c r="C22">
        <f t="shared" si="0"/>
        <v>-4.3627004802109237E-3</v>
      </c>
      <c r="D22">
        <f t="shared" si="1"/>
        <v>0.98674878686076939</v>
      </c>
      <c r="E22">
        <f t="shared" si="2"/>
        <v>1.0082431255443574</v>
      </c>
      <c r="F22">
        <f t="shared" si="3"/>
        <v>-2.1318606731866363E-2</v>
      </c>
      <c r="G22">
        <f t="shared" ref="G22:G85" si="4">_xlfn.STDEV.S(C3:C22)*SQRT(252)</f>
        <v>0.32965203321175746</v>
      </c>
      <c r="H22" s="1"/>
    </row>
    <row r="23" spans="1:8" x14ac:dyDescent="0.45">
      <c r="A23" s="1">
        <v>44279</v>
      </c>
      <c r="B23">
        <v>311.87</v>
      </c>
      <c r="C23">
        <f t="shared" si="0"/>
        <v>-1.6865267007124429E-2</v>
      </c>
      <c r="D23">
        <f t="shared" si="1"/>
        <v>0.97010700510140635</v>
      </c>
      <c r="E23">
        <f t="shared" si="2"/>
        <v>1.0082431255443574</v>
      </c>
      <c r="F23">
        <f t="shared" si="3"/>
        <v>-3.7824329744238105E-2</v>
      </c>
      <c r="G23">
        <f t="shared" si="4"/>
        <v>0.3328906750744669</v>
      </c>
      <c r="H23" s="1"/>
    </row>
    <row r="24" spans="1:8" x14ac:dyDescent="0.45">
      <c r="A24" s="1">
        <v>44280</v>
      </c>
      <c r="B24">
        <v>311.33</v>
      </c>
      <c r="C24">
        <f t="shared" si="0"/>
        <v>-1.7314906852214929E-3</v>
      </c>
      <c r="D24">
        <f t="shared" si="1"/>
        <v>0.9684272738584051</v>
      </c>
      <c r="E24">
        <f t="shared" si="2"/>
        <v>1.0082431255443574</v>
      </c>
      <c r="F24">
        <f t="shared" si="3"/>
        <v>-3.949032795483276E-2</v>
      </c>
      <c r="G24">
        <f t="shared" si="4"/>
        <v>0.30905841026667785</v>
      </c>
      <c r="H24" s="1"/>
    </row>
    <row r="25" spans="1:8" x14ac:dyDescent="0.45">
      <c r="A25" s="1">
        <v>44281</v>
      </c>
      <c r="B25">
        <v>316</v>
      </c>
      <c r="C25">
        <f t="shared" si="0"/>
        <v>1.5000160601291279E-2</v>
      </c>
      <c r="D25">
        <f t="shared" si="1"/>
        <v>0.98295383849695184</v>
      </c>
      <c r="E25">
        <f t="shared" si="2"/>
        <v>1.0082431255443574</v>
      </c>
      <c r="F25">
        <f t="shared" si="3"/>
        <v>-2.5082528615061661E-2</v>
      </c>
      <c r="G25">
        <f t="shared" si="4"/>
        <v>0.31338256689803806</v>
      </c>
      <c r="H25" s="1"/>
    </row>
    <row r="26" spans="1:8" x14ac:dyDescent="0.45">
      <c r="A26" s="1">
        <v>44284</v>
      </c>
      <c r="B26">
        <v>315.91000000000003</v>
      </c>
      <c r="C26">
        <f t="shared" si="0"/>
        <v>-2.8481012658221339E-4</v>
      </c>
      <c r="D26">
        <f t="shared" si="1"/>
        <v>0.982673883289785</v>
      </c>
      <c r="E26">
        <f t="shared" si="2"/>
        <v>1.0082431255443574</v>
      </c>
      <c r="F26">
        <f t="shared" si="3"/>
        <v>-2.5360194983494067E-2</v>
      </c>
      <c r="G26">
        <f t="shared" si="4"/>
        <v>0.29322789220927981</v>
      </c>
      <c r="H26" s="1"/>
    </row>
    <row r="27" spans="1:8" x14ac:dyDescent="0.45">
      <c r="A27" s="1">
        <v>44285</v>
      </c>
      <c r="B27">
        <v>314.32</v>
      </c>
      <c r="C27">
        <f t="shared" si="0"/>
        <v>-5.0330790414992999E-3</v>
      </c>
      <c r="D27">
        <f t="shared" si="1"/>
        <v>0.9777280079631705</v>
      </c>
      <c r="E27">
        <f t="shared" si="2"/>
        <v>1.0082431255443574</v>
      </c>
      <c r="F27">
        <f t="shared" si="3"/>
        <v>-3.0265634159133525E-2</v>
      </c>
      <c r="G27">
        <f t="shared" si="4"/>
        <v>0.28832187839765133</v>
      </c>
      <c r="H27" s="1"/>
    </row>
    <row r="28" spans="1:8" x14ac:dyDescent="0.45">
      <c r="A28" s="1">
        <v>44286</v>
      </c>
      <c r="B28">
        <v>319.13</v>
      </c>
      <c r="C28">
        <f t="shared" si="0"/>
        <v>1.530287604988545E-2</v>
      </c>
      <c r="D28">
        <f t="shared" si="1"/>
        <v>0.99269005847953229</v>
      </c>
      <c r="E28">
        <f t="shared" si="2"/>
        <v>1.0082431255443574</v>
      </c>
      <c r="F28">
        <f t="shared" si="3"/>
        <v>-1.5425909357356549E-2</v>
      </c>
      <c r="G28">
        <f t="shared" si="4"/>
        <v>0.27264741301005208</v>
      </c>
      <c r="H28" s="1"/>
    </row>
    <row r="29" spans="1:8" x14ac:dyDescent="0.45">
      <c r="A29" s="1">
        <v>44287</v>
      </c>
      <c r="B29">
        <v>324.57</v>
      </c>
      <c r="C29">
        <f t="shared" si="0"/>
        <v>1.7046344749788389E-2</v>
      </c>
      <c r="D29">
        <f t="shared" si="1"/>
        <v>1.0096117954460619</v>
      </c>
      <c r="E29">
        <f t="shared" si="2"/>
        <v>1.0096117954460619</v>
      </c>
      <c r="F29">
        <f t="shared" si="3"/>
        <v>0</v>
      </c>
      <c r="G29">
        <f t="shared" si="4"/>
        <v>0.26900855536941182</v>
      </c>
      <c r="H29" s="1"/>
    </row>
    <row r="30" spans="1:8" x14ac:dyDescent="0.45">
      <c r="A30" s="1">
        <v>44291</v>
      </c>
      <c r="B30">
        <v>331.05</v>
      </c>
      <c r="C30">
        <f t="shared" si="0"/>
        <v>1.9964876605971016E-2</v>
      </c>
      <c r="D30">
        <f t="shared" si="1"/>
        <v>1.0297685703620754</v>
      </c>
      <c r="E30">
        <f t="shared" si="2"/>
        <v>1.0297685703620754</v>
      </c>
      <c r="F30">
        <f t="shared" si="3"/>
        <v>0</v>
      </c>
      <c r="G30">
        <f t="shared" si="4"/>
        <v>0.27237050923663259</v>
      </c>
      <c r="H30" s="1"/>
    </row>
    <row r="31" spans="1:8" x14ac:dyDescent="0.45">
      <c r="A31" s="1">
        <v>44292</v>
      </c>
      <c r="B31">
        <v>330.82</v>
      </c>
      <c r="C31">
        <f t="shared" si="0"/>
        <v>-6.9475909983396367E-4</v>
      </c>
      <c r="D31">
        <f t="shared" si="1"/>
        <v>1.0290531292770932</v>
      </c>
      <c r="E31">
        <f t="shared" si="2"/>
        <v>1.0297685703620754</v>
      </c>
      <c r="F31">
        <f t="shared" si="3"/>
        <v>-6.9475909983396367E-4</v>
      </c>
      <c r="G31">
        <f t="shared" si="4"/>
        <v>0.24573061682133213</v>
      </c>
      <c r="H31" s="1"/>
    </row>
    <row r="32" spans="1:8" x14ac:dyDescent="0.45">
      <c r="A32" s="1">
        <v>44293</v>
      </c>
      <c r="B32">
        <v>331.62</v>
      </c>
      <c r="C32">
        <f t="shared" si="0"/>
        <v>2.4182334804425665E-3</v>
      </c>
      <c r="D32">
        <f t="shared" si="1"/>
        <v>1.0315416200074654</v>
      </c>
      <c r="E32">
        <f t="shared" si="2"/>
        <v>1.0315416200074654</v>
      </c>
      <c r="F32">
        <f t="shared" si="3"/>
        <v>0</v>
      </c>
      <c r="G32">
        <f t="shared" si="4"/>
        <v>0.20941529950602447</v>
      </c>
      <c r="H32" s="1"/>
    </row>
    <row r="33" spans="1:8" x14ac:dyDescent="0.45">
      <c r="A33" s="1">
        <v>44294</v>
      </c>
      <c r="B33">
        <v>335.08</v>
      </c>
      <c r="C33">
        <f t="shared" si="0"/>
        <v>1.0433628852300814E-2</v>
      </c>
      <c r="D33">
        <f t="shared" si="1"/>
        <v>1.0423043424163245</v>
      </c>
      <c r="E33">
        <f t="shared" si="2"/>
        <v>1.0423043424163245</v>
      </c>
      <c r="F33">
        <f t="shared" si="3"/>
        <v>0</v>
      </c>
      <c r="G33">
        <f t="shared" si="4"/>
        <v>0.20965369880137136</v>
      </c>
      <c r="H33" s="1"/>
    </row>
    <row r="34" spans="1:8" x14ac:dyDescent="0.45">
      <c r="A34" s="1">
        <v>44295</v>
      </c>
      <c r="B34">
        <v>337.11</v>
      </c>
      <c r="C34">
        <f t="shared" si="0"/>
        <v>6.0582547451355495E-3</v>
      </c>
      <c r="D34">
        <f t="shared" si="1"/>
        <v>1.0486188876446436</v>
      </c>
      <c r="E34">
        <f t="shared" si="2"/>
        <v>1.0486188876446436</v>
      </c>
      <c r="F34">
        <f t="shared" si="3"/>
        <v>0</v>
      </c>
      <c r="G34">
        <f t="shared" si="4"/>
        <v>0.19734020501937938</v>
      </c>
      <c r="H34" s="1"/>
    </row>
    <row r="35" spans="1:8" x14ac:dyDescent="0.45">
      <c r="A35" s="1">
        <v>44298</v>
      </c>
      <c r="B35">
        <v>336.67</v>
      </c>
      <c r="C35">
        <f t="shared" si="0"/>
        <v>-1.3052119486220981E-3</v>
      </c>
      <c r="D35">
        <f t="shared" si="1"/>
        <v>1.047250217742939</v>
      </c>
      <c r="E35">
        <f t="shared" si="2"/>
        <v>1.0486188876446436</v>
      </c>
      <c r="F35">
        <f t="shared" si="3"/>
        <v>-1.3052119486220981E-3</v>
      </c>
      <c r="G35">
        <f t="shared" si="4"/>
        <v>0.19370697793640704</v>
      </c>
      <c r="H35" s="1"/>
    </row>
    <row r="36" spans="1:8" x14ac:dyDescent="0.45">
      <c r="A36" s="1">
        <v>44299</v>
      </c>
      <c r="B36">
        <v>340.6</v>
      </c>
      <c r="C36">
        <f t="shared" si="0"/>
        <v>1.1673151750972721E-2</v>
      </c>
      <c r="D36">
        <f t="shared" si="1"/>
        <v>1.0594749284558915</v>
      </c>
      <c r="E36">
        <f t="shared" si="2"/>
        <v>1.0594749284558915</v>
      </c>
      <c r="F36">
        <f t="shared" si="3"/>
        <v>0</v>
      </c>
      <c r="G36">
        <f t="shared" si="4"/>
        <v>0.19423673986404788</v>
      </c>
      <c r="H36" s="1"/>
    </row>
    <row r="37" spans="1:8" x14ac:dyDescent="0.45">
      <c r="A37" s="1">
        <v>44300</v>
      </c>
      <c r="B37">
        <v>336.51</v>
      </c>
      <c r="C37">
        <f t="shared" si="0"/>
        <v>-1.2008220786846824E-2</v>
      </c>
      <c r="D37">
        <f t="shared" si="1"/>
        <v>1.0467525195968646</v>
      </c>
      <c r="E37">
        <f t="shared" si="2"/>
        <v>1.0594749284558915</v>
      </c>
      <c r="F37">
        <f t="shared" si="3"/>
        <v>-1.2008220786846713E-2</v>
      </c>
      <c r="G37">
        <f t="shared" si="4"/>
        <v>0.20151014419534516</v>
      </c>
      <c r="H37" s="1"/>
    </row>
    <row r="38" spans="1:8" x14ac:dyDescent="0.45">
      <c r="A38" s="1">
        <v>44301</v>
      </c>
      <c r="B38">
        <v>341.61</v>
      </c>
      <c r="C38">
        <f t="shared" si="0"/>
        <v>1.5155567442275197E-2</v>
      </c>
      <c r="D38">
        <f t="shared" si="1"/>
        <v>1.0626166480029864</v>
      </c>
      <c r="E38">
        <f t="shared" si="2"/>
        <v>1.0626166480029864</v>
      </c>
      <c r="F38">
        <f t="shared" si="3"/>
        <v>0</v>
      </c>
      <c r="G38">
        <f t="shared" si="4"/>
        <v>0.20643100335668213</v>
      </c>
      <c r="H38" s="1"/>
    </row>
    <row r="39" spans="1:8" x14ac:dyDescent="0.45">
      <c r="A39" s="1">
        <v>44302</v>
      </c>
      <c r="B39">
        <v>342.01</v>
      </c>
      <c r="C39">
        <f t="shared" si="0"/>
        <v>1.1709259096630564E-3</v>
      </c>
      <c r="D39">
        <f t="shared" si="1"/>
        <v>1.0638608933681724</v>
      </c>
      <c r="E39">
        <f t="shared" si="2"/>
        <v>1.0638608933681724</v>
      </c>
      <c r="F39">
        <f t="shared" si="3"/>
        <v>0</v>
      </c>
      <c r="G39">
        <f t="shared" si="4"/>
        <v>0.16413070868847202</v>
      </c>
      <c r="H39" s="1"/>
    </row>
    <row r="40" spans="1:8" x14ac:dyDescent="0.45">
      <c r="A40" s="1">
        <v>44305</v>
      </c>
      <c r="B40">
        <v>338.88</v>
      </c>
      <c r="C40">
        <f t="shared" si="0"/>
        <v>-9.1517791877430144E-3</v>
      </c>
      <c r="D40">
        <f t="shared" si="1"/>
        <v>1.0541246733855918</v>
      </c>
      <c r="E40">
        <f t="shared" si="2"/>
        <v>1.0638608933681724</v>
      </c>
      <c r="F40">
        <f t="shared" si="3"/>
        <v>-9.1517791877430144E-3</v>
      </c>
      <c r="G40">
        <f t="shared" si="4"/>
        <v>0.1712917916595329</v>
      </c>
      <c r="H40" s="1"/>
    </row>
    <row r="41" spans="1:8" x14ac:dyDescent="0.45">
      <c r="A41" s="1">
        <v>44306</v>
      </c>
      <c r="B41">
        <v>336.41</v>
      </c>
      <c r="C41">
        <f t="shared" si="0"/>
        <v>-7.2887157695938898E-3</v>
      </c>
      <c r="D41">
        <f t="shared" si="1"/>
        <v>1.0464414582555681</v>
      </c>
      <c r="E41">
        <f t="shared" si="2"/>
        <v>1.0638608933681724</v>
      </c>
      <c r="F41">
        <f t="shared" si="3"/>
        <v>-1.6373790240051478E-2</v>
      </c>
      <c r="G41">
        <f t="shared" si="4"/>
        <v>0.16800935023959807</v>
      </c>
      <c r="H41" s="1"/>
    </row>
    <row r="42" spans="1:8" x14ac:dyDescent="0.45">
      <c r="A42" s="1">
        <v>44307</v>
      </c>
      <c r="B42">
        <v>339.29</v>
      </c>
      <c r="C42">
        <f t="shared" si="0"/>
        <v>8.5609821348948678E-3</v>
      </c>
      <c r="D42">
        <f t="shared" si="1"/>
        <v>1.0554000248849074</v>
      </c>
      <c r="E42">
        <f t="shared" si="2"/>
        <v>1.0638608933681724</v>
      </c>
      <c r="F42">
        <f t="shared" si="3"/>
        <v>-7.9529838308822765E-3</v>
      </c>
      <c r="G42">
        <f t="shared" si="4"/>
        <v>0.16698717955782838</v>
      </c>
      <c r="H42" s="1"/>
    </row>
    <row r="43" spans="1:8" x14ac:dyDescent="0.45">
      <c r="A43" s="1">
        <v>44308</v>
      </c>
      <c r="B43">
        <v>335.2</v>
      </c>
      <c r="C43">
        <f t="shared" si="0"/>
        <v>-1.2054584573668592E-2</v>
      </c>
      <c r="D43">
        <f t="shared" si="1"/>
        <v>1.0426776160258804</v>
      </c>
      <c r="E43">
        <f t="shared" si="2"/>
        <v>1.0638608933681724</v>
      </c>
      <c r="F43">
        <f t="shared" si="3"/>
        <v>-1.9911698488348395E-2</v>
      </c>
      <c r="G43">
        <f t="shared" si="4"/>
        <v>0.15996118593372616</v>
      </c>
      <c r="H43" s="1"/>
    </row>
    <row r="44" spans="1:8" x14ac:dyDescent="0.45">
      <c r="A44" s="1">
        <v>44309</v>
      </c>
      <c r="B44">
        <v>339.42</v>
      </c>
      <c r="C44">
        <f t="shared" si="0"/>
        <v>1.2589498806682586E-2</v>
      </c>
      <c r="D44">
        <f t="shared" si="1"/>
        <v>1.0558044046285928</v>
      </c>
      <c r="E44">
        <f t="shared" si="2"/>
        <v>1.0638608933681724</v>
      </c>
      <c r="F44">
        <f t="shared" si="3"/>
        <v>-7.572877986023907E-3</v>
      </c>
      <c r="G44">
        <f t="shared" si="4"/>
        <v>0.1616260304169353</v>
      </c>
      <c r="H44" s="1"/>
    </row>
    <row r="45" spans="1:8" x14ac:dyDescent="0.45">
      <c r="A45" s="1">
        <v>44312</v>
      </c>
      <c r="B45">
        <v>341.63</v>
      </c>
      <c r="C45">
        <f t="shared" si="0"/>
        <v>6.5111071828412026E-3</v>
      </c>
      <c r="D45">
        <f t="shared" si="1"/>
        <v>1.0626788602712454</v>
      </c>
      <c r="E45">
        <f t="shared" si="2"/>
        <v>1.0638608933681724</v>
      </c>
      <c r="F45">
        <f t="shared" si="3"/>
        <v>-1.1110786234322934E-3</v>
      </c>
      <c r="G45">
        <f t="shared" si="4"/>
        <v>0.15696806101595659</v>
      </c>
      <c r="H45" s="1"/>
    </row>
    <row r="46" spans="1:8" x14ac:dyDescent="0.45">
      <c r="A46" s="1">
        <v>44313</v>
      </c>
      <c r="B46">
        <v>340.15</v>
      </c>
      <c r="C46">
        <f t="shared" si="0"/>
        <v>-4.3321722331177703E-3</v>
      </c>
      <c r="D46">
        <f t="shared" si="1"/>
        <v>1.0580751524200571</v>
      </c>
      <c r="E46">
        <f t="shared" si="2"/>
        <v>1.0638608933681724</v>
      </c>
      <c r="F46">
        <f t="shared" si="3"/>
        <v>-5.4384374725887641E-3</v>
      </c>
      <c r="G46">
        <f t="shared" si="4"/>
        <v>0.15906091806491779</v>
      </c>
      <c r="H46" s="1"/>
    </row>
    <row r="47" spans="1:8" x14ac:dyDescent="0.45">
      <c r="A47" s="1">
        <v>44314</v>
      </c>
      <c r="B47">
        <v>339</v>
      </c>
      <c r="C47">
        <f t="shared" si="0"/>
        <v>-3.380861384683187E-3</v>
      </c>
      <c r="D47">
        <f t="shared" si="1"/>
        <v>1.0544979469951474</v>
      </c>
      <c r="E47">
        <f t="shared" si="2"/>
        <v>1.0638608933681724</v>
      </c>
      <c r="F47">
        <f t="shared" si="3"/>
        <v>-8.8009122540277929E-3</v>
      </c>
      <c r="G47">
        <f t="shared" si="4"/>
        <v>0.15795504474839731</v>
      </c>
      <c r="H47" s="1"/>
    </row>
    <row r="48" spans="1:8" x14ac:dyDescent="0.45">
      <c r="A48" s="1">
        <v>44315</v>
      </c>
      <c r="B48">
        <v>340.22</v>
      </c>
      <c r="C48">
        <f t="shared" si="0"/>
        <v>3.5988200589971431E-3</v>
      </c>
      <c r="D48">
        <f t="shared" si="1"/>
        <v>1.058292895358965</v>
      </c>
      <c r="E48">
        <f t="shared" si="2"/>
        <v>1.0638608933681724</v>
      </c>
      <c r="F48">
        <f t="shared" si="3"/>
        <v>-5.2337650945878389E-3</v>
      </c>
      <c r="G48">
        <f t="shared" si="4"/>
        <v>0.15203600734293649</v>
      </c>
      <c r="H48" s="1"/>
    </row>
    <row r="49" spans="1:8" x14ac:dyDescent="0.45">
      <c r="A49" s="1">
        <v>44316</v>
      </c>
      <c r="B49">
        <v>337.99</v>
      </c>
      <c r="C49">
        <f t="shared" si="0"/>
        <v>-6.5545823290812377E-3</v>
      </c>
      <c r="D49">
        <f t="shared" si="1"/>
        <v>1.0513562274480528</v>
      </c>
      <c r="E49">
        <f t="shared" si="2"/>
        <v>1.0638608933681724</v>
      </c>
      <c r="F49">
        <f t="shared" si="3"/>
        <v>-1.1754042279465637E-2</v>
      </c>
      <c r="G49">
        <f t="shared" si="4"/>
        <v>0.14661159737499918</v>
      </c>
      <c r="H49" s="1"/>
    </row>
    <row r="50" spans="1:8" x14ac:dyDescent="0.45">
      <c r="A50" s="1">
        <v>44319</v>
      </c>
      <c r="B50">
        <v>336.19</v>
      </c>
      <c r="C50">
        <f t="shared" si="0"/>
        <v>-5.3256013491523868E-3</v>
      </c>
      <c r="D50">
        <f t="shared" si="1"/>
        <v>1.0457571233047156</v>
      </c>
      <c r="E50">
        <f t="shared" si="2"/>
        <v>1.0638608933681724</v>
      </c>
      <c r="F50">
        <f t="shared" si="3"/>
        <v>-1.7017046285196513E-2</v>
      </c>
      <c r="G50">
        <f t="shared" si="4"/>
        <v>0.13246814064639173</v>
      </c>
      <c r="H50" s="1"/>
    </row>
    <row r="51" spans="1:8" x14ac:dyDescent="0.45">
      <c r="A51" s="1">
        <v>44320</v>
      </c>
      <c r="B51">
        <v>330.14</v>
      </c>
      <c r="C51">
        <f t="shared" si="0"/>
        <v>-1.7995776197983315E-2</v>
      </c>
      <c r="D51">
        <f t="shared" si="1"/>
        <v>1.0269379121562772</v>
      </c>
      <c r="E51">
        <f t="shared" si="2"/>
        <v>1.0638608933681724</v>
      </c>
      <c r="F51">
        <f t="shared" si="3"/>
        <v>-3.4706587526680654E-2</v>
      </c>
      <c r="G51">
        <f t="shared" si="4"/>
        <v>0.14834752982560742</v>
      </c>
      <c r="H51" s="1"/>
    </row>
    <row r="52" spans="1:8" x14ac:dyDescent="0.45">
      <c r="A52" s="1">
        <v>44321</v>
      </c>
      <c r="B52">
        <v>329.03</v>
      </c>
      <c r="C52">
        <f t="shared" si="0"/>
        <v>-3.3622099715272524E-3</v>
      </c>
      <c r="D52">
        <f t="shared" si="1"/>
        <v>1.0234851312678859</v>
      </c>
      <c r="E52">
        <f t="shared" si="2"/>
        <v>1.0638608933681724</v>
      </c>
      <c r="F52">
        <f t="shared" si="3"/>
        <v>-3.7952106663548091E-2</v>
      </c>
      <c r="G52">
        <f t="shared" si="4"/>
        <v>0.14848499365523349</v>
      </c>
      <c r="H52" s="1"/>
    </row>
    <row r="53" spans="1:8" x14ac:dyDescent="0.45">
      <c r="A53" s="1">
        <v>44322</v>
      </c>
      <c r="B53">
        <v>331.51</v>
      </c>
      <c r="C53">
        <f t="shared" si="0"/>
        <v>7.5373066285748802E-3</v>
      </c>
      <c r="D53">
        <f t="shared" si="1"/>
        <v>1.0311994525320392</v>
      </c>
      <c r="E53">
        <f t="shared" si="2"/>
        <v>1.0638608933681724</v>
      </c>
      <c r="F53">
        <f t="shared" si="3"/>
        <v>-3.0700856700096812E-2</v>
      </c>
      <c r="G53">
        <f t="shared" si="4"/>
        <v>0.14603070925877187</v>
      </c>
      <c r="H53" s="1"/>
    </row>
    <row r="54" spans="1:8" x14ac:dyDescent="0.45">
      <c r="A54" s="1">
        <v>44323</v>
      </c>
      <c r="B54">
        <v>334.2</v>
      </c>
      <c r="C54">
        <f t="shared" si="0"/>
        <v>8.1143856897227806E-3</v>
      </c>
      <c r="D54">
        <f t="shared" si="1"/>
        <v>1.0395670026129151</v>
      </c>
      <c r="E54">
        <f t="shared" si="2"/>
        <v>1.0638608933681724</v>
      </c>
      <c r="F54">
        <f t="shared" si="3"/>
        <v>-2.2835589602643425E-2</v>
      </c>
      <c r="G54">
        <f t="shared" si="4"/>
        <v>0.14743023023948801</v>
      </c>
      <c r="H54" s="1"/>
    </row>
    <row r="55" spans="1:8" x14ac:dyDescent="0.45">
      <c r="A55" s="1">
        <v>44326</v>
      </c>
      <c r="B55">
        <v>325.76</v>
      </c>
      <c r="C55">
        <f t="shared" si="0"/>
        <v>-2.5254338719329694E-2</v>
      </c>
      <c r="D55">
        <f t="shared" si="1"/>
        <v>1.0133134254074903</v>
      </c>
      <c r="E55">
        <f t="shared" si="2"/>
        <v>1.0638608933681724</v>
      </c>
      <c r="F55">
        <f t="shared" si="3"/>
        <v>-4.75132306072924E-2</v>
      </c>
      <c r="G55">
        <f t="shared" si="4"/>
        <v>0.17187911830530234</v>
      </c>
      <c r="H55" s="1"/>
    </row>
    <row r="56" spans="1:8" x14ac:dyDescent="0.45">
      <c r="A56" s="1">
        <v>44327</v>
      </c>
      <c r="B56">
        <v>325.31</v>
      </c>
      <c r="C56">
        <f t="shared" si="0"/>
        <v>-1.3813850687622864E-3</v>
      </c>
      <c r="D56">
        <f t="shared" si="1"/>
        <v>1.0119136493716561</v>
      </c>
      <c r="E56">
        <f t="shared" si="2"/>
        <v>1.0638608933681724</v>
      </c>
      <c r="F56">
        <f t="shared" si="3"/>
        <v>-4.8828981608725064E-2</v>
      </c>
      <c r="G56">
        <f t="shared" si="4"/>
        <v>0.16461137523742339</v>
      </c>
      <c r="H56" s="1"/>
    </row>
    <row r="57" spans="1:8" x14ac:dyDescent="0.45">
      <c r="A57" s="1">
        <v>44328</v>
      </c>
      <c r="B57">
        <v>316.89</v>
      </c>
      <c r="C57">
        <f t="shared" si="0"/>
        <v>-2.5883003903968582E-2</v>
      </c>
      <c r="D57">
        <f t="shared" si="1"/>
        <v>0.98572228443449039</v>
      </c>
      <c r="E57">
        <f t="shared" si="2"/>
        <v>1.0638608933681724</v>
      </c>
      <c r="F57">
        <f t="shared" si="3"/>
        <v>-7.3448144791088188E-2</v>
      </c>
      <c r="G57">
        <f t="shared" si="4"/>
        <v>0.18198005079533369</v>
      </c>
      <c r="H57" s="1"/>
    </row>
    <row r="58" spans="1:8" x14ac:dyDescent="0.45">
      <c r="A58" s="1">
        <v>44329</v>
      </c>
      <c r="B58">
        <v>319.33999999999997</v>
      </c>
      <c r="C58">
        <f t="shared" si="0"/>
        <v>7.7313894411310535E-3</v>
      </c>
      <c r="D58">
        <f t="shared" si="1"/>
        <v>0.99334328729625476</v>
      </c>
      <c r="E58">
        <f t="shared" si="2"/>
        <v>1.0638608933681724</v>
      </c>
      <c r="F58">
        <f t="shared" si="3"/>
        <v>-6.6284611561065687E-2</v>
      </c>
      <c r="G58">
        <f t="shared" si="4"/>
        <v>0.17392034160774317</v>
      </c>
      <c r="H58" s="1"/>
    </row>
    <row r="59" spans="1:8" x14ac:dyDescent="0.45">
      <c r="A59" s="1">
        <v>44330</v>
      </c>
      <c r="B59">
        <v>326.39</v>
      </c>
      <c r="C59">
        <f t="shared" si="0"/>
        <v>2.2076783365691854E-2</v>
      </c>
      <c r="D59">
        <f t="shared" si="1"/>
        <v>1.0152731118576583</v>
      </c>
      <c r="E59">
        <f t="shared" si="2"/>
        <v>1.0638608933681724</v>
      </c>
      <c r="F59">
        <f t="shared" si="3"/>
        <v>-4.5671179205286516E-2</v>
      </c>
      <c r="G59">
        <f t="shared" si="4"/>
        <v>0.19554725342780918</v>
      </c>
      <c r="H59" s="1"/>
    </row>
    <row r="60" spans="1:8" x14ac:dyDescent="0.45">
      <c r="A60" s="1">
        <v>44333</v>
      </c>
      <c r="B60">
        <v>324.41000000000003</v>
      </c>
      <c r="C60">
        <f t="shared" si="0"/>
        <v>-6.0663623272770861E-3</v>
      </c>
      <c r="D60">
        <f t="shared" si="1"/>
        <v>1.0091140972999877</v>
      </c>
      <c r="E60">
        <f t="shared" si="2"/>
        <v>1.0638608933681724</v>
      </c>
      <c r="F60">
        <f t="shared" si="3"/>
        <v>-5.146048361159028E-2</v>
      </c>
      <c r="G60">
        <f t="shared" si="4"/>
        <v>0.19440886027765894</v>
      </c>
      <c r="H60" s="1"/>
    </row>
    <row r="61" spans="1:8" x14ac:dyDescent="0.45">
      <c r="A61" s="1">
        <v>44334</v>
      </c>
      <c r="B61">
        <v>322.22000000000003</v>
      </c>
      <c r="C61">
        <f t="shared" si="0"/>
        <v>-6.7507166856755063E-3</v>
      </c>
      <c r="D61">
        <f t="shared" si="1"/>
        <v>1.0023018539255943</v>
      </c>
      <c r="E61">
        <f t="shared" si="2"/>
        <v>1.0638608933681724</v>
      </c>
      <c r="F61">
        <f t="shared" si="3"/>
        <v>-5.7863805151896042E-2</v>
      </c>
      <c r="G61">
        <f t="shared" si="4"/>
        <v>0.19422800200982315</v>
      </c>
      <c r="H61" s="1"/>
    </row>
    <row r="62" spans="1:8" x14ac:dyDescent="0.45">
      <c r="A62" s="1">
        <v>44335</v>
      </c>
      <c r="B62">
        <v>322.58999999999997</v>
      </c>
      <c r="C62">
        <f t="shared" si="0"/>
        <v>1.1482837812673008E-3</v>
      </c>
      <c r="D62">
        <f t="shared" si="1"/>
        <v>1.0034527808883913</v>
      </c>
      <c r="E62">
        <f t="shared" si="2"/>
        <v>1.0638608933681724</v>
      </c>
      <c r="F62">
        <f t="shared" si="3"/>
        <v>-5.6781965439607118E-2</v>
      </c>
      <c r="G62">
        <f t="shared" si="4"/>
        <v>0.19058934928269586</v>
      </c>
      <c r="H62" s="1"/>
    </row>
    <row r="63" spans="1:8" x14ac:dyDescent="0.45">
      <c r="A63" s="1">
        <v>44336</v>
      </c>
      <c r="B63">
        <v>328.83</v>
      </c>
      <c r="C63">
        <f t="shared" si="0"/>
        <v>1.9343439040267807E-2</v>
      </c>
      <c r="D63">
        <f t="shared" si="1"/>
        <v>1.022863008585293</v>
      </c>
      <c r="E63">
        <f t="shared" si="2"/>
        <v>1.0638608933681724</v>
      </c>
      <c r="F63">
        <f t="shared" si="3"/>
        <v>-3.8536884886406941E-2</v>
      </c>
      <c r="G63">
        <f t="shared" si="4"/>
        <v>0.20186094528857321</v>
      </c>
      <c r="H63" s="1"/>
    </row>
    <row r="64" spans="1:8" x14ac:dyDescent="0.45">
      <c r="A64" s="1">
        <v>44337</v>
      </c>
      <c r="B64">
        <v>327.01</v>
      </c>
      <c r="C64">
        <f t="shared" si="0"/>
        <v>-5.5347748076512993E-3</v>
      </c>
      <c r="D64">
        <f t="shared" si="1"/>
        <v>1.0172016921736966</v>
      </c>
      <c r="E64">
        <f t="shared" si="2"/>
        <v>1.0638608933681724</v>
      </c>
      <c r="F64">
        <f t="shared" si="3"/>
        <v>-4.385836671442378E-2</v>
      </c>
      <c r="G64">
        <f t="shared" si="4"/>
        <v>0.19598522223914724</v>
      </c>
      <c r="H64" s="1"/>
    </row>
    <row r="65" spans="1:8" x14ac:dyDescent="0.45">
      <c r="A65" s="1">
        <v>44340</v>
      </c>
      <c r="B65">
        <v>332.51</v>
      </c>
      <c r="C65">
        <f t="shared" si="0"/>
        <v>1.6819057521176628E-2</v>
      </c>
      <c r="D65">
        <f t="shared" si="1"/>
        <v>1.0343100659450042</v>
      </c>
      <c r="E65">
        <f t="shared" si="2"/>
        <v>1.0638608933681724</v>
      </c>
      <c r="F65">
        <f t="shared" si="3"/>
        <v>-2.7776965585801894E-2</v>
      </c>
      <c r="G65">
        <f t="shared" si="4"/>
        <v>0.20498353698863031</v>
      </c>
      <c r="H65" s="1"/>
    </row>
    <row r="66" spans="1:8" x14ac:dyDescent="0.45">
      <c r="A66" s="1">
        <v>44341</v>
      </c>
      <c r="B66">
        <v>332.97</v>
      </c>
      <c r="C66">
        <f t="shared" si="0"/>
        <v>1.3834170400890411E-3</v>
      </c>
      <c r="D66">
        <f t="shared" si="1"/>
        <v>1.0357409481149682</v>
      </c>
      <c r="E66">
        <f t="shared" si="2"/>
        <v>1.0638608933681724</v>
      </c>
      <c r="F66">
        <f t="shared" si="3"/>
        <v>-2.6431975673226193E-2</v>
      </c>
      <c r="G66">
        <f t="shared" si="4"/>
        <v>0.2048560387908662</v>
      </c>
      <c r="H66" s="1"/>
    </row>
    <row r="67" spans="1:8" x14ac:dyDescent="0.45">
      <c r="A67" s="1">
        <v>44342</v>
      </c>
      <c r="B67">
        <v>334.13</v>
      </c>
      <c r="C67">
        <f t="shared" si="0"/>
        <v>3.4837973390995369E-3</v>
      </c>
      <c r="D67">
        <f t="shared" si="1"/>
        <v>1.0393492596740075</v>
      </c>
      <c r="E67">
        <f t="shared" si="2"/>
        <v>1.0638608933681724</v>
      </c>
      <c r="F67">
        <f t="shared" si="3"/>
        <v>-2.3040261980644239E-2</v>
      </c>
      <c r="G67">
        <f t="shared" si="4"/>
        <v>0.20524087168038038</v>
      </c>
      <c r="H67" s="1"/>
    </row>
    <row r="68" spans="1:8" x14ac:dyDescent="0.45">
      <c r="A68" s="1">
        <v>44343</v>
      </c>
      <c r="B68">
        <v>332.88</v>
      </c>
      <c r="C68">
        <f t="shared" ref="C68:C131" si="5">IFERROR((B68/B67)-1,"")</f>
        <v>-3.7410588693023161E-3</v>
      </c>
      <c r="D68">
        <f t="shared" ref="D68:D131" si="6">D67*(1+C68)</f>
        <v>1.0354609929078011</v>
      </c>
      <c r="E68">
        <f t="shared" ref="E68:E131" si="7">MAX(E67,D68)</f>
        <v>1.0638608933681724</v>
      </c>
      <c r="F68">
        <f t="shared" ref="F68:F131" si="8">D68/E68-1</f>
        <v>-2.6695125873512859E-2</v>
      </c>
      <c r="G68">
        <f t="shared" si="4"/>
        <v>0.2048819804682766</v>
      </c>
      <c r="H68" s="1"/>
    </row>
    <row r="69" spans="1:8" x14ac:dyDescent="0.45">
      <c r="A69" s="1">
        <v>44344</v>
      </c>
      <c r="B69">
        <v>333.93</v>
      </c>
      <c r="C69">
        <f t="shared" si="5"/>
        <v>3.1542898341745396E-3</v>
      </c>
      <c r="D69">
        <f t="shared" si="6"/>
        <v>1.0387271369914144</v>
      </c>
      <c r="E69">
        <f t="shared" si="7"/>
        <v>1.0638608933681724</v>
      </c>
      <c r="F69">
        <f t="shared" si="8"/>
        <v>-2.3625040203503311E-2</v>
      </c>
      <c r="G69">
        <f t="shared" si="4"/>
        <v>0.20429519916036074</v>
      </c>
      <c r="H69" s="1"/>
    </row>
    <row r="70" spans="1:8" x14ac:dyDescent="0.45">
      <c r="A70" s="1">
        <v>44348</v>
      </c>
      <c r="B70">
        <v>332.82</v>
      </c>
      <c r="C70">
        <f t="shared" si="5"/>
        <v>-3.3240499505884369E-3</v>
      </c>
      <c r="D70">
        <f t="shared" si="6"/>
        <v>1.0352743561030233</v>
      </c>
      <c r="E70">
        <f t="shared" si="7"/>
        <v>1.0638608933681724</v>
      </c>
      <c r="F70">
        <f t="shared" si="8"/>
        <v>-2.6870559340370526E-2</v>
      </c>
      <c r="G70">
        <f t="shared" si="4"/>
        <v>0.20379433922255172</v>
      </c>
      <c r="H70" s="1"/>
    </row>
    <row r="71" spans="1:8" x14ac:dyDescent="0.45">
      <c r="A71" s="1">
        <v>44349</v>
      </c>
      <c r="B71">
        <v>333.47</v>
      </c>
      <c r="C71">
        <f t="shared" si="5"/>
        <v>1.9530076317531009E-3</v>
      </c>
      <c r="D71">
        <f t="shared" si="6"/>
        <v>1.0372962548214508</v>
      </c>
      <c r="E71">
        <f t="shared" si="7"/>
        <v>1.0638608933681724</v>
      </c>
      <c r="F71">
        <f t="shared" si="8"/>
        <v>-2.4970030116078568E-2</v>
      </c>
      <c r="G71">
        <f t="shared" si="4"/>
        <v>0.19299871832712764</v>
      </c>
      <c r="H71" s="1"/>
    </row>
    <row r="72" spans="1:8" x14ac:dyDescent="0.45">
      <c r="A72" s="1">
        <v>44350</v>
      </c>
      <c r="B72">
        <v>330</v>
      </c>
      <c r="C72">
        <f t="shared" si="5"/>
        <v>-1.0405733649203941E-2</v>
      </c>
      <c r="D72">
        <f t="shared" si="6"/>
        <v>1.0265024262784621</v>
      </c>
      <c r="E72">
        <f t="shared" si="7"/>
        <v>1.0638608933681724</v>
      </c>
      <c r="F72">
        <f t="shared" si="8"/>
        <v>-3.511593228268195E-2</v>
      </c>
      <c r="G72">
        <f t="shared" si="4"/>
        <v>0.19649106168800162</v>
      </c>
      <c r="H72" s="1"/>
    </row>
    <row r="73" spans="1:8" x14ac:dyDescent="0.45">
      <c r="A73" s="1">
        <v>44351</v>
      </c>
      <c r="B73">
        <v>335.6</v>
      </c>
      <c r="C73">
        <f t="shared" si="5"/>
        <v>1.6969696969697079E-2</v>
      </c>
      <c r="D73">
        <f t="shared" si="6"/>
        <v>1.0439218613910664</v>
      </c>
      <c r="E73">
        <f t="shared" si="7"/>
        <v>1.0638608933681724</v>
      </c>
      <c r="F73">
        <f t="shared" si="8"/>
        <v>-1.8742142042630472E-2</v>
      </c>
      <c r="G73">
        <f t="shared" si="4"/>
        <v>0.20386404934803687</v>
      </c>
      <c r="H73" s="1"/>
    </row>
    <row r="74" spans="1:8" x14ac:dyDescent="0.45">
      <c r="A74" s="1">
        <v>44354</v>
      </c>
      <c r="B74">
        <v>336.6</v>
      </c>
      <c r="C74">
        <f t="shared" si="5"/>
        <v>2.9797377830751426E-3</v>
      </c>
      <c r="D74">
        <f t="shared" si="6"/>
        <v>1.0470324748040314</v>
      </c>
      <c r="E74">
        <f t="shared" si="7"/>
        <v>1.0638608933681724</v>
      </c>
      <c r="F74">
        <f t="shared" si="8"/>
        <v>-1.5818250928335553E-2</v>
      </c>
      <c r="G74">
        <f t="shared" si="4"/>
        <v>0.20219239582359341</v>
      </c>
      <c r="H74" s="1"/>
    </row>
    <row r="75" spans="1:8" x14ac:dyDescent="0.45">
      <c r="A75" s="1">
        <v>44355</v>
      </c>
      <c r="B75">
        <v>336.76</v>
      </c>
      <c r="C75">
        <f t="shared" si="5"/>
        <v>4.753416518121778E-4</v>
      </c>
      <c r="D75">
        <f t="shared" si="6"/>
        <v>1.0475301729501056</v>
      </c>
      <c r="E75">
        <f t="shared" si="7"/>
        <v>1.0638608933681724</v>
      </c>
      <c r="F75">
        <f t="shared" si="8"/>
        <v>-1.5350428350048517E-2</v>
      </c>
      <c r="G75">
        <f t="shared" si="4"/>
        <v>0.17801628612592216</v>
      </c>
      <c r="H75" s="1"/>
    </row>
    <row r="76" spans="1:8" x14ac:dyDescent="0.45">
      <c r="A76" s="1">
        <v>44356</v>
      </c>
      <c r="B76">
        <v>336.84</v>
      </c>
      <c r="C76">
        <f t="shared" si="5"/>
        <v>2.3755790473933835E-4</v>
      </c>
      <c r="D76">
        <f t="shared" si="6"/>
        <v>1.0477790220231429</v>
      </c>
      <c r="E76">
        <f t="shared" si="7"/>
        <v>1.0638608933681724</v>
      </c>
      <c r="F76">
        <f t="shared" si="8"/>
        <v>-1.5116517060904888E-2</v>
      </c>
      <c r="G76">
        <f t="shared" si="4"/>
        <v>0.17773454309886966</v>
      </c>
      <c r="H76" s="1"/>
    </row>
    <row r="77" spans="1:8" x14ac:dyDescent="0.45">
      <c r="A77" s="1">
        <v>44357</v>
      </c>
      <c r="B77">
        <v>340.35</v>
      </c>
      <c r="C77">
        <f t="shared" si="5"/>
        <v>1.0420377627360367E-2</v>
      </c>
      <c r="D77">
        <f t="shared" si="6"/>
        <v>1.0586972751026504</v>
      </c>
      <c r="E77">
        <f t="shared" si="7"/>
        <v>1.0638608933681724</v>
      </c>
      <c r="F77">
        <f t="shared" si="8"/>
        <v>-4.8536592497294695E-3</v>
      </c>
      <c r="G77">
        <f t="shared" si="4"/>
        <v>0.14674654909761037</v>
      </c>
      <c r="H77" s="1"/>
    </row>
    <row r="78" spans="1:8" x14ac:dyDescent="0.45">
      <c r="A78" s="1">
        <v>44358</v>
      </c>
      <c r="B78">
        <v>341.24</v>
      </c>
      <c r="C78">
        <f t="shared" si="5"/>
        <v>2.6149551931835546E-3</v>
      </c>
      <c r="D78">
        <f t="shared" si="6"/>
        <v>1.0614657210401894</v>
      </c>
      <c r="E78">
        <f t="shared" si="7"/>
        <v>1.0638608933681724</v>
      </c>
      <c r="F78">
        <f t="shared" si="8"/>
        <v>-2.2513961580069575E-3</v>
      </c>
      <c r="G78">
        <f t="shared" si="4"/>
        <v>0.14596601361248693</v>
      </c>
      <c r="H78" s="1"/>
    </row>
    <row r="79" spans="1:8" x14ac:dyDescent="0.45">
      <c r="A79" s="1">
        <v>44361</v>
      </c>
      <c r="B79">
        <v>344.51</v>
      </c>
      <c r="C79">
        <f t="shared" si="5"/>
        <v>9.5826983940920929E-3</v>
      </c>
      <c r="D79">
        <f t="shared" si="6"/>
        <v>1.0716374269005851</v>
      </c>
      <c r="E79">
        <f t="shared" si="7"/>
        <v>1.0716374269005851</v>
      </c>
      <c r="F79">
        <f t="shared" si="8"/>
        <v>0</v>
      </c>
      <c r="G79">
        <f t="shared" si="4"/>
        <v>0.13065383134983088</v>
      </c>
      <c r="H79" s="1"/>
    </row>
    <row r="80" spans="1:8" x14ac:dyDescent="0.45">
      <c r="A80" s="1">
        <v>44362</v>
      </c>
      <c r="B80">
        <v>342.26</v>
      </c>
      <c r="C80">
        <f t="shared" si="5"/>
        <v>-6.5310150648747456E-3</v>
      </c>
      <c r="D80">
        <f t="shared" si="6"/>
        <v>1.0646385467214137</v>
      </c>
      <c r="E80">
        <f t="shared" si="7"/>
        <v>1.0716374269005851</v>
      </c>
      <c r="F80">
        <f t="shared" si="8"/>
        <v>-6.5310150648747456E-3</v>
      </c>
      <c r="G80">
        <f t="shared" si="4"/>
        <v>0.13107880035838063</v>
      </c>
      <c r="H80" s="1"/>
    </row>
    <row r="81" spans="1:8" x14ac:dyDescent="0.45">
      <c r="A81" s="1">
        <v>44363</v>
      </c>
      <c r="B81">
        <v>341.01</v>
      </c>
      <c r="C81">
        <f t="shared" si="5"/>
        <v>-3.652194238298323E-3</v>
      </c>
      <c r="D81">
        <f t="shared" si="6"/>
        <v>1.0607502799552073</v>
      </c>
      <c r="E81">
        <f t="shared" si="7"/>
        <v>1.0716374269005851</v>
      </c>
      <c r="F81">
        <f t="shared" si="8"/>
        <v>-1.0159356767583061E-2</v>
      </c>
      <c r="G81">
        <f t="shared" si="4"/>
        <v>0.12854844152367256</v>
      </c>
      <c r="H81" s="1"/>
    </row>
    <row r="82" spans="1:8" x14ac:dyDescent="0.45">
      <c r="A82" s="1">
        <v>44364</v>
      </c>
      <c r="B82">
        <v>345.34</v>
      </c>
      <c r="C82">
        <f t="shared" si="5"/>
        <v>1.2697574851177285E-2</v>
      </c>
      <c r="D82">
        <f t="shared" si="6"/>
        <v>1.0742192360333458</v>
      </c>
      <c r="E82">
        <f t="shared" si="7"/>
        <v>1.0742192360333458</v>
      </c>
      <c r="F82">
        <f t="shared" si="8"/>
        <v>0</v>
      </c>
      <c r="G82">
        <f t="shared" si="4"/>
        <v>0.13295960536503437</v>
      </c>
      <c r="H82" s="1"/>
    </row>
    <row r="83" spans="1:8" x14ac:dyDescent="0.45">
      <c r="A83" s="1">
        <v>44365</v>
      </c>
      <c r="B83">
        <v>342.63</v>
      </c>
      <c r="C83">
        <f t="shared" si="5"/>
        <v>-7.8473388544622047E-3</v>
      </c>
      <c r="D83">
        <f t="shared" si="6"/>
        <v>1.0657894736842106</v>
      </c>
      <c r="E83">
        <f t="shared" si="7"/>
        <v>1.0742192360333458</v>
      </c>
      <c r="F83">
        <f t="shared" si="8"/>
        <v>-7.8473388544622047E-3</v>
      </c>
      <c r="G83">
        <f t="shared" si="4"/>
        <v>0.12461050118473133</v>
      </c>
      <c r="H83" s="1"/>
    </row>
    <row r="84" spans="1:8" x14ac:dyDescent="0.45">
      <c r="A84" s="1">
        <v>44368</v>
      </c>
      <c r="B84">
        <v>344.36</v>
      </c>
      <c r="C84">
        <f t="shared" si="5"/>
        <v>5.04917841403274E-3</v>
      </c>
      <c r="D84">
        <f t="shared" si="6"/>
        <v>1.0711708348886402</v>
      </c>
      <c r="E84">
        <f t="shared" si="7"/>
        <v>1.0742192360333458</v>
      </c>
      <c r="F84">
        <f t="shared" si="8"/>
        <v>-2.8377830543810934E-3</v>
      </c>
      <c r="G84">
        <f t="shared" si="4"/>
        <v>0.12165301834048144</v>
      </c>
      <c r="H84" s="1"/>
    </row>
    <row r="85" spans="1:8" x14ac:dyDescent="0.45">
      <c r="A85" s="1">
        <v>44369</v>
      </c>
      <c r="B85">
        <v>347.57</v>
      </c>
      <c r="C85">
        <f t="shared" si="5"/>
        <v>9.3216401440352481E-3</v>
      </c>
      <c r="D85">
        <f t="shared" si="6"/>
        <v>1.081155903944258</v>
      </c>
      <c r="E85">
        <f t="shared" si="7"/>
        <v>1.081155903944258</v>
      </c>
      <c r="F85">
        <f t="shared" si="8"/>
        <v>0</v>
      </c>
      <c r="G85">
        <f t="shared" si="4"/>
        <v>0.1126189324780492</v>
      </c>
      <c r="H85" s="1"/>
    </row>
    <row r="86" spans="1:8" x14ac:dyDescent="0.45">
      <c r="A86" s="1">
        <v>44370</v>
      </c>
      <c r="B86">
        <v>347.74</v>
      </c>
      <c r="C86">
        <f t="shared" si="5"/>
        <v>4.8911010731655935E-4</v>
      </c>
      <c r="D86">
        <f t="shared" si="6"/>
        <v>1.0816847082244621</v>
      </c>
      <c r="E86">
        <f t="shared" si="7"/>
        <v>1.0816847082244621</v>
      </c>
      <c r="F86">
        <f t="shared" si="8"/>
        <v>0</v>
      </c>
      <c r="G86">
        <f t="shared" ref="G86:G149" si="9">_xlfn.STDEV.S(C67:C86)*SQRT(252)</f>
        <v>0.11275392511197148</v>
      </c>
      <c r="H86" s="1"/>
    </row>
    <row r="87" spans="1:8" x14ac:dyDescent="0.45">
      <c r="A87" s="1">
        <v>44371</v>
      </c>
      <c r="B87">
        <v>349.89</v>
      </c>
      <c r="C87">
        <f t="shared" si="5"/>
        <v>6.1827802381089203E-3</v>
      </c>
      <c r="D87">
        <f t="shared" si="6"/>
        <v>1.0883725270623368</v>
      </c>
      <c r="E87">
        <f t="shared" si="7"/>
        <v>1.0883725270623368</v>
      </c>
      <c r="F87">
        <f t="shared" si="8"/>
        <v>0</v>
      </c>
      <c r="G87">
        <f t="shared" si="9"/>
        <v>0.11356673801807123</v>
      </c>
      <c r="H87" s="1"/>
    </row>
    <row r="88" spans="1:8" x14ac:dyDescent="0.45">
      <c r="A88" s="1">
        <v>44372</v>
      </c>
      <c r="B88">
        <v>349.46</v>
      </c>
      <c r="C88">
        <f t="shared" si="5"/>
        <v>-1.2289576724113793E-3</v>
      </c>
      <c r="D88">
        <f t="shared" si="6"/>
        <v>1.0870349632947618</v>
      </c>
      <c r="E88">
        <f t="shared" si="7"/>
        <v>1.0883725270623368</v>
      </c>
      <c r="F88">
        <f t="shared" si="8"/>
        <v>-1.2289576724113793E-3</v>
      </c>
      <c r="G88">
        <f t="shared" si="9"/>
        <v>0.11212615150396164</v>
      </c>
      <c r="H88" s="1"/>
    </row>
    <row r="89" spans="1:8" x14ac:dyDescent="0.45">
      <c r="A89" s="1">
        <v>44375</v>
      </c>
      <c r="B89">
        <v>353.71</v>
      </c>
      <c r="C89">
        <f t="shared" si="5"/>
        <v>1.2161620786356186E-2</v>
      </c>
      <c r="D89">
        <f t="shared" si="6"/>
        <v>1.1002550702998632</v>
      </c>
      <c r="E89">
        <f t="shared" si="7"/>
        <v>1.1002550702998632</v>
      </c>
      <c r="F89">
        <f t="shared" si="8"/>
        <v>0</v>
      </c>
      <c r="G89">
        <f t="shared" si="9"/>
        <v>0.11730796050952337</v>
      </c>
      <c r="H89" s="1"/>
    </row>
    <row r="90" spans="1:8" x14ac:dyDescent="0.45">
      <c r="A90" s="1">
        <v>44376</v>
      </c>
      <c r="B90">
        <v>354.99</v>
      </c>
      <c r="C90">
        <f t="shared" si="5"/>
        <v>3.6187837493992792E-3</v>
      </c>
      <c r="D90">
        <f t="shared" si="6"/>
        <v>1.1042366554684586</v>
      </c>
      <c r="E90">
        <f t="shared" si="7"/>
        <v>1.1042366554684586</v>
      </c>
      <c r="F90">
        <f t="shared" si="8"/>
        <v>0</v>
      </c>
      <c r="G90">
        <f t="shared" si="9"/>
        <v>0.11498217575695639</v>
      </c>
      <c r="H90" s="1"/>
    </row>
    <row r="91" spans="1:8" x14ac:dyDescent="0.45">
      <c r="A91" s="1">
        <v>44377</v>
      </c>
      <c r="B91">
        <v>354.43</v>
      </c>
      <c r="C91">
        <f t="shared" si="5"/>
        <v>-1.5775092256119505E-3</v>
      </c>
      <c r="D91">
        <f t="shared" si="6"/>
        <v>1.1024947119571982</v>
      </c>
      <c r="E91">
        <f t="shared" si="7"/>
        <v>1.1042366554684586</v>
      </c>
      <c r="F91">
        <f t="shared" si="8"/>
        <v>-1.5775092256120615E-3</v>
      </c>
      <c r="G91">
        <f t="shared" si="9"/>
        <v>0.1161887920401814</v>
      </c>
      <c r="H91" s="1"/>
    </row>
    <row r="92" spans="1:8" x14ac:dyDescent="0.45">
      <c r="A92" s="1">
        <v>44378</v>
      </c>
      <c r="B92">
        <v>354.57</v>
      </c>
      <c r="C92">
        <f t="shared" si="5"/>
        <v>3.9500042321471973E-4</v>
      </c>
      <c r="D92">
        <f t="shared" si="6"/>
        <v>1.1029301978350132</v>
      </c>
      <c r="E92">
        <f t="shared" si="7"/>
        <v>1.1042366554684586</v>
      </c>
      <c r="F92">
        <f t="shared" si="8"/>
        <v>-1.1831319192090461E-3</v>
      </c>
      <c r="G92">
        <f t="shared" si="9"/>
        <v>0.10538777974423828</v>
      </c>
      <c r="H92" s="1"/>
    </row>
    <row r="93" spans="1:8" x14ac:dyDescent="0.45">
      <c r="A93" s="1">
        <v>44379</v>
      </c>
      <c r="B93">
        <v>358.64</v>
      </c>
      <c r="C93">
        <f t="shared" si="5"/>
        <v>1.1478692500775489E-2</v>
      </c>
      <c r="D93">
        <f t="shared" si="6"/>
        <v>1.1155903944257808</v>
      </c>
      <c r="E93">
        <f t="shared" si="7"/>
        <v>1.1155903944257808</v>
      </c>
      <c r="F93">
        <f t="shared" si="8"/>
        <v>0</v>
      </c>
      <c r="G93">
        <f t="shared" si="9"/>
        <v>9.7681753692108561E-2</v>
      </c>
      <c r="H93" s="1"/>
    </row>
    <row r="94" spans="1:8" x14ac:dyDescent="0.45">
      <c r="A94" s="1">
        <v>44383</v>
      </c>
      <c r="B94">
        <v>360.19</v>
      </c>
      <c r="C94">
        <f t="shared" si="5"/>
        <v>4.3218826678563804E-3</v>
      </c>
      <c r="D94">
        <f t="shared" si="6"/>
        <v>1.1204118452158767</v>
      </c>
      <c r="E94">
        <f t="shared" si="7"/>
        <v>1.1204118452158767</v>
      </c>
      <c r="F94">
        <f t="shared" si="8"/>
        <v>0</v>
      </c>
      <c r="G94">
        <f t="shared" si="9"/>
        <v>9.7731647018362344E-2</v>
      </c>
      <c r="H94" s="1"/>
    </row>
    <row r="95" spans="1:8" x14ac:dyDescent="0.45">
      <c r="A95" s="1">
        <v>44384</v>
      </c>
      <c r="B95">
        <v>360.95</v>
      </c>
      <c r="C95">
        <f t="shared" si="5"/>
        <v>2.1099975013187944E-3</v>
      </c>
      <c r="D95">
        <f t="shared" si="6"/>
        <v>1.1227759114097302</v>
      </c>
      <c r="E95">
        <f t="shared" si="7"/>
        <v>1.1227759114097302</v>
      </c>
      <c r="F95">
        <f t="shared" si="8"/>
        <v>0</v>
      </c>
      <c r="G95">
        <f t="shared" si="9"/>
        <v>9.7251582656301683E-2</v>
      </c>
      <c r="H95" s="1"/>
    </row>
    <row r="96" spans="1:8" x14ac:dyDescent="0.45">
      <c r="A96" s="1">
        <v>44385</v>
      </c>
      <c r="B96">
        <v>358.77</v>
      </c>
      <c r="C96">
        <f t="shared" si="5"/>
        <v>-6.0396176755783682E-3</v>
      </c>
      <c r="D96">
        <f t="shared" si="6"/>
        <v>1.1159947741694665</v>
      </c>
      <c r="E96">
        <f t="shared" si="7"/>
        <v>1.1227759114097302</v>
      </c>
      <c r="F96">
        <f t="shared" si="8"/>
        <v>-6.0396176755782571E-3</v>
      </c>
      <c r="G96">
        <f t="shared" si="9"/>
        <v>0.10245138267131174</v>
      </c>
      <c r="H96" s="1"/>
    </row>
    <row r="97" spans="1:8" x14ac:dyDescent="0.45">
      <c r="A97" s="1">
        <v>44386</v>
      </c>
      <c r="B97">
        <v>361.01</v>
      </c>
      <c r="C97">
        <f t="shared" si="5"/>
        <v>6.2435543663070803E-3</v>
      </c>
      <c r="D97">
        <f t="shared" si="6"/>
        <v>1.122962548214508</v>
      </c>
      <c r="E97">
        <f t="shared" si="7"/>
        <v>1.122962548214508</v>
      </c>
      <c r="F97">
        <f t="shared" si="8"/>
        <v>0</v>
      </c>
      <c r="G97">
        <f t="shared" si="9"/>
        <v>9.9567672720088499E-2</v>
      </c>
      <c r="H97" s="1"/>
    </row>
    <row r="98" spans="1:8" x14ac:dyDescent="0.45">
      <c r="A98" s="1">
        <v>44389</v>
      </c>
      <c r="B98">
        <v>362.42</v>
      </c>
      <c r="C98">
        <f t="shared" si="5"/>
        <v>3.9057089831306957E-3</v>
      </c>
      <c r="D98">
        <f t="shared" si="6"/>
        <v>1.1273485131267889</v>
      </c>
      <c r="E98">
        <f t="shared" si="7"/>
        <v>1.1273485131267889</v>
      </c>
      <c r="F98">
        <f t="shared" si="8"/>
        <v>0</v>
      </c>
      <c r="G98">
        <f t="shared" si="9"/>
        <v>9.9612112469965375E-2</v>
      </c>
      <c r="H98" s="1"/>
    </row>
    <row r="99" spans="1:8" x14ac:dyDescent="0.45">
      <c r="A99" s="1">
        <v>44390</v>
      </c>
      <c r="B99">
        <v>362.42</v>
      </c>
      <c r="C99">
        <f t="shared" si="5"/>
        <v>0</v>
      </c>
      <c r="D99">
        <f t="shared" si="6"/>
        <v>1.1273485131267889</v>
      </c>
      <c r="E99">
        <f t="shared" si="7"/>
        <v>1.1273485131267889</v>
      </c>
      <c r="F99">
        <f t="shared" si="8"/>
        <v>0</v>
      </c>
      <c r="G99">
        <f t="shared" si="9"/>
        <v>9.7030869124550695E-2</v>
      </c>
      <c r="H99" s="1"/>
    </row>
    <row r="100" spans="1:8" x14ac:dyDescent="0.45">
      <c r="A100" s="1">
        <v>44391</v>
      </c>
      <c r="B100">
        <v>363.07</v>
      </c>
      <c r="C100">
        <f t="shared" si="5"/>
        <v>1.7934992550079354E-3</v>
      </c>
      <c r="D100">
        <f t="shared" si="6"/>
        <v>1.1293704118452161</v>
      </c>
      <c r="E100">
        <f t="shared" si="7"/>
        <v>1.1293704118452161</v>
      </c>
      <c r="F100">
        <f t="shared" si="8"/>
        <v>0</v>
      </c>
      <c r="G100">
        <f t="shared" si="9"/>
        <v>9.1004333898566811E-2</v>
      </c>
      <c r="H100" s="1"/>
    </row>
    <row r="101" spans="1:8" x14ac:dyDescent="0.45">
      <c r="A101" s="1">
        <v>44392</v>
      </c>
      <c r="B101">
        <v>360.52</v>
      </c>
      <c r="C101">
        <f t="shared" si="5"/>
        <v>-7.0234390062522412E-3</v>
      </c>
      <c r="D101">
        <f t="shared" si="6"/>
        <v>1.1214383476421552</v>
      </c>
      <c r="E101">
        <f t="shared" si="7"/>
        <v>1.1293704118452161</v>
      </c>
      <c r="F101">
        <f t="shared" si="8"/>
        <v>-7.0234390062523522E-3</v>
      </c>
      <c r="G101">
        <f t="shared" si="9"/>
        <v>9.4959449848304359E-2</v>
      </c>
      <c r="H101" s="1"/>
    </row>
    <row r="102" spans="1:8" x14ac:dyDescent="0.45">
      <c r="A102" s="1">
        <v>44393</v>
      </c>
      <c r="B102">
        <v>357.6</v>
      </c>
      <c r="C102">
        <f t="shared" si="5"/>
        <v>-8.0994119605013459E-3</v>
      </c>
      <c r="D102">
        <f t="shared" si="6"/>
        <v>1.1123553564762976</v>
      </c>
      <c r="E102">
        <f t="shared" si="7"/>
        <v>1.1293704118452161</v>
      </c>
      <c r="F102">
        <f t="shared" si="8"/>
        <v>-1.5065965240862456E-2</v>
      </c>
      <c r="G102">
        <f t="shared" si="9"/>
        <v>9.4911805650746514E-2</v>
      </c>
      <c r="H102" s="1"/>
    </row>
    <row r="103" spans="1:8" x14ac:dyDescent="0.45">
      <c r="A103" s="1">
        <v>44396</v>
      </c>
      <c r="B103">
        <v>354.67</v>
      </c>
      <c r="C103">
        <f t="shared" si="5"/>
        <v>-8.1935123042505831E-3</v>
      </c>
      <c r="D103">
        <f t="shared" si="6"/>
        <v>1.1032412591763099</v>
      </c>
      <c r="E103">
        <f t="shared" si="7"/>
        <v>1.1293704118452161</v>
      </c>
      <c r="F103">
        <f t="shared" si="8"/>
        <v>-2.3136034373536729E-2</v>
      </c>
      <c r="G103">
        <f t="shared" si="9"/>
        <v>9.5383475976691334E-2</v>
      </c>
      <c r="H103" s="1"/>
    </row>
    <row r="104" spans="1:8" x14ac:dyDescent="0.45">
      <c r="A104" s="1">
        <v>44397</v>
      </c>
      <c r="B104">
        <v>358.79</v>
      </c>
      <c r="C104">
        <f t="shared" si="5"/>
        <v>1.1616432176389413E-2</v>
      </c>
      <c r="D104">
        <f t="shared" si="6"/>
        <v>1.1160569864377259</v>
      </c>
      <c r="E104">
        <f t="shared" si="7"/>
        <v>1.1293704118452161</v>
      </c>
      <c r="F104">
        <f t="shared" si="8"/>
        <v>-1.1788360371278173E-2</v>
      </c>
      <c r="G104">
        <f t="shared" si="9"/>
        <v>0.10107896318859337</v>
      </c>
      <c r="H104" s="1"/>
    </row>
    <row r="105" spans="1:8" x14ac:dyDescent="0.45">
      <c r="A105" s="1">
        <v>44398</v>
      </c>
      <c r="B105">
        <v>361.56</v>
      </c>
      <c r="C105">
        <f t="shared" si="5"/>
        <v>7.7203935449705607E-3</v>
      </c>
      <c r="D105">
        <f t="shared" si="6"/>
        <v>1.1246733855916391</v>
      </c>
      <c r="E105">
        <f t="shared" si="7"/>
        <v>1.1293704118452161</v>
      </c>
      <c r="F105">
        <f t="shared" si="8"/>
        <v>-4.1589776076237372E-3</v>
      </c>
      <c r="G105">
        <f t="shared" si="9"/>
        <v>9.9706621444238683E-2</v>
      </c>
      <c r="H105" s="1"/>
    </row>
    <row r="106" spans="1:8" x14ac:dyDescent="0.45">
      <c r="A106" s="1">
        <v>44399</v>
      </c>
      <c r="B106">
        <v>363.95</v>
      </c>
      <c r="C106">
        <f t="shared" si="5"/>
        <v>6.6102444960725038E-3</v>
      </c>
      <c r="D106">
        <f t="shared" si="6"/>
        <v>1.1321077516486255</v>
      </c>
      <c r="E106">
        <f t="shared" si="7"/>
        <v>1.1321077516486255</v>
      </c>
      <c r="F106">
        <f t="shared" si="8"/>
        <v>0</v>
      </c>
      <c r="G106">
        <f t="shared" si="9"/>
        <v>0.10084245433845092</v>
      </c>
      <c r="H106" s="1"/>
    </row>
    <row r="107" spans="1:8" x14ac:dyDescent="0.45">
      <c r="A107" s="1">
        <v>44400</v>
      </c>
      <c r="B107">
        <v>368.2</v>
      </c>
      <c r="C107">
        <f t="shared" si="5"/>
        <v>1.1677428218161756E-2</v>
      </c>
      <c r="D107">
        <f t="shared" si="6"/>
        <v>1.1453278586537268</v>
      </c>
      <c r="E107">
        <f t="shared" si="7"/>
        <v>1.1453278586537268</v>
      </c>
      <c r="F107">
        <f t="shared" si="8"/>
        <v>0</v>
      </c>
      <c r="G107">
        <f t="shared" si="9"/>
        <v>0.10543037153825854</v>
      </c>
      <c r="H107" s="1"/>
    </row>
    <row r="108" spans="1:8" x14ac:dyDescent="0.45">
      <c r="A108" s="1">
        <v>44403</v>
      </c>
      <c r="B108">
        <v>368.49</v>
      </c>
      <c r="C108">
        <f t="shared" si="5"/>
        <v>7.8761542639882443E-4</v>
      </c>
      <c r="D108">
        <f t="shared" si="6"/>
        <v>1.1462299365434867</v>
      </c>
      <c r="E108">
        <f t="shared" si="7"/>
        <v>1.1462299365434867</v>
      </c>
      <c r="F108">
        <f t="shared" si="8"/>
        <v>0</v>
      </c>
      <c r="G108">
        <f t="shared" si="9"/>
        <v>0.10470599001721136</v>
      </c>
      <c r="H108" s="1"/>
    </row>
    <row r="109" spans="1:8" x14ac:dyDescent="0.45">
      <c r="A109" s="1">
        <v>44404</v>
      </c>
      <c r="B109">
        <v>364.43</v>
      </c>
      <c r="C109">
        <f t="shared" si="5"/>
        <v>-1.1017938071589461E-2</v>
      </c>
      <c r="D109">
        <f t="shared" si="6"/>
        <v>1.1336008460868487</v>
      </c>
      <c r="E109">
        <f t="shared" si="7"/>
        <v>1.1462299365434867</v>
      </c>
      <c r="F109">
        <f t="shared" si="8"/>
        <v>-1.101793807158935E-2</v>
      </c>
      <c r="G109">
        <f t="shared" si="9"/>
        <v>0.10908907789163719</v>
      </c>
      <c r="H109" s="1"/>
    </row>
    <row r="110" spans="1:8" x14ac:dyDescent="0.45">
      <c r="A110" s="1">
        <v>44405</v>
      </c>
      <c r="B110">
        <v>365.83</v>
      </c>
      <c r="C110">
        <f t="shared" si="5"/>
        <v>3.8416156737919316E-3</v>
      </c>
      <c r="D110">
        <f t="shared" si="6"/>
        <v>1.1379557048649998</v>
      </c>
      <c r="E110">
        <f t="shared" si="7"/>
        <v>1.1462299365434867</v>
      </c>
      <c r="F110">
        <f t="shared" si="8"/>
        <v>-7.2186490813861415E-3</v>
      </c>
      <c r="G110">
        <f t="shared" si="9"/>
        <v>0.10914888737506429</v>
      </c>
      <c r="H110" s="1"/>
    </row>
    <row r="111" spans="1:8" x14ac:dyDescent="0.45">
      <c r="A111" s="1">
        <v>44406</v>
      </c>
      <c r="B111">
        <v>366.48</v>
      </c>
      <c r="C111">
        <f t="shared" si="5"/>
        <v>1.7767815652078855E-3</v>
      </c>
      <c r="D111">
        <f t="shared" si="6"/>
        <v>1.139977603583427</v>
      </c>
      <c r="E111">
        <f t="shared" si="7"/>
        <v>1.1462299365434867</v>
      </c>
      <c r="F111">
        <f t="shared" si="8"/>
        <v>-5.4546934787917944E-3</v>
      </c>
      <c r="G111">
        <f t="shared" si="9"/>
        <v>0.10853095599023126</v>
      </c>
      <c r="H111" s="1"/>
    </row>
    <row r="112" spans="1:8" x14ac:dyDescent="0.45">
      <c r="A112" s="1">
        <v>44407</v>
      </c>
      <c r="B112">
        <v>364.57</v>
      </c>
      <c r="C112">
        <f t="shared" si="5"/>
        <v>-5.2117441606637227E-3</v>
      </c>
      <c r="D112">
        <f t="shared" si="6"/>
        <v>1.1340363319646636</v>
      </c>
      <c r="E112">
        <f t="shared" si="7"/>
        <v>1.1462299365434867</v>
      </c>
      <c r="F112">
        <f t="shared" si="8"/>
        <v>-1.0638009172569296E-2</v>
      </c>
      <c r="G112">
        <f t="shared" si="9"/>
        <v>0.11121347723712982</v>
      </c>
      <c r="H112" s="1"/>
    </row>
    <row r="113" spans="1:8" x14ac:dyDescent="0.45">
      <c r="A113" s="1">
        <v>44410</v>
      </c>
      <c r="B113">
        <v>364.6</v>
      </c>
      <c r="C113">
        <f t="shared" si="5"/>
        <v>8.2288723701973154E-5</v>
      </c>
      <c r="D113">
        <f t="shared" si="6"/>
        <v>1.1341296503670526</v>
      </c>
      <c r="E113">
        <f t="shared" si="7"/>
        <v>1.1462299365434867</v>
      </c>
      <c r="F113">
        <f t="shared" si="8"/>
        <v>-1.0556595837064919E-2</v>
      </c>
      <c r="G113">
        <f t="shared" si="9"/>
        <v>0.10470230421024619</v>
      </c>
      <c r="H113" s="1"/>
    </row>
    <row r="114" spans="1:8" x14ac:dyDescent="0.45">
      <c r="A114" s="1">
        <v>44411</v>
      </c>
      <c r="B114">
        <v>366.81</v>
      </c>
      <c r="C114">
        <f t="shared" si="5"/>
        <v>6.0614371914426979E-3</v>
      </c>
      <c r="D114">
        <f t="shared" si="6"/>
        <v>1.1410041060097054</v>
      </c>
      <c r="E114">
        <f t="shared" si="7"/>
        <v>1.1462299365434867</v>
      </c>
      <c r="F114">
        <f t="shared" si="8"/>
        <v>-4.559146788243984E-3</v>
      </c>
      <c r="G114">
        <f t="shared" si="9"/>
        <v>0.1056462673706914</v>
      </c>
      <c r="H114" s="1"/>
    </row>
    <row r="115" spans="1:8" x14ac:dyDescent="0.45">
      <c r="A115" s="1">
        <v>44412</v>
      </c>
      <c r="B115">
        <v>367.34</v>
      </c>
      <c r="C115">
        <f t="shared" si="5"/>
        <v>1.4448897249257353E-3</v>
      </c>
      <c r="D115">
        <f t="shared" si="6"/>
        <v>1.1426527311185768</v>
      </c>
      <c r="E115">
        <f t="shared" si="7"/>
        <v>1.1462299365434867</v>
      </c>
      <c r="F115">
        <f t="shared" si="8"/>
        <v>-3.1208445276670327E-3</v>
      </c>
      <c r="G115">
        <f t="shared" si="9"/>
        <v>0.10557426572625728</v>
      </c>
      <c r="H115" s="1"/>
    </row>
    <row r="116" spans="1:8" x14ac:dyDescent="0.45">
      <c r="A116" s="1">
        <v>44413</v>
      </c>
      <c r="B116">
        <v>369.67</v>
      </c>
      <c r="C116">
        <f t="shared" si="5"/>
        <v>6.3428975880657212E-3</v>
      </c>
      <c r="D116">
        <f t="shared" si="6"/>
        <v>1.1499004603707854</v>
      </c>
      <c r="E116">
        <f t="shared" si="7"/>
        <v>1.1499004603707854</v>
      </c>
      <c r="F116">
        <f t="shared" si="8"/>
        <v>0</v>
      </c>
      <c r="G116">
        <f t="shared" si="9"/>
        <v>0.10391740953603767</v>
      </c>
      <c r="H116" s="1"/>
    </row>
    <row r="117" spans="1:8" x14ac:dyDescent="0.45">
      <c r="A117" s="1">
        <v>44414</v>
      </c>
      <c r="B117">
        <v>368.05</v>
      </c>
      <c r="C117">
        <f t="shared" si="5"/>
        <v>-4.3822869045364587E-3</v>
      </c>
      <c r="D117">
        <f t="shared" si="6"/>
        <v>1.1448612666417821</v>
      </c>
      <c r="E117">
        <f t="shared" si="7"/>
        <v>1.1499004603707854</v>
      </c>
      <c r="F117">
        <f t="shared" si="8"/>
        <v>-4.3822869045364587E-3</v>
      </c>
      <c r="G117">
        <f t="shared" si="9"/>
        <v>0.10435272759170287</v>
      </c>
      <c r="H117" s="1"/>
    </row>
    <row r="118" spans="1:8" x14ac:dyDescent="0.45">
      <c r="A118" s="1">
        <v>44417</v>
      </c>
      <c r="B118">
        <v>368.73</v>
      </c>
      <c r="C118">
        <f t="shared" si="5"/>
        <v>1.8475750577366945E-3</v>
      </c>
      <c r="D118">
        <f t="shared" si="6"/>
        <v>1.1469764837625984</v>
      </c>
      <c r="E118">
        <f t="shared" si="7"/>
        <v>1.1499004603707854</v>
      </c>
      <c r="F118">
        <f t="shared" si="8"/>
        <v>-2.542808450780254E-3</v>
      </c>
      <c r="G118">
        <f t="shared" si="9"/>
        <v>0.1038436268412939</v>
      </c>
      <c r="H118" s="1"/>
    </row>
    <row r="119" spans="1:8" x14ac:dyDescent="0.45">
      <c r="A119" s="1">
        <v>44418</v>
      </c>
      <c r="B119">
        <v>366.84</v>
      </c>
      <c r="C119">
        <f t="shared" si="5"/>
        <v>-5.1257017329754406E-3</v>
      </c>
      <c r="D119">
        <f t="shared" si="6"/>
        <v>1.1410974244120944</v>
      </c>
      <c r="E119">
        <f t="shared" si="7"/>
        <v>1.1499004603707854</v>
      </c>
      <c r="F119">
        <f t="shared" si="8"/>
        <v>-7.6554765060730112E-3</v>
      </c>
      <c r="G119">
        <f t="shared" si="9"/>
        <v>0.10599384271584525</v>
      </c>
      <c r="H119" s="1"/>
    </row>
    <row r="120" spans="1:8" x14ac:dyDescent="0.45">
      <c r="A120" s="1">
        <v>44419</v>
      </c>
      <c r="B120">
        <v>366.21</v>
      </c>
      <c r="C120">
        <f t="shared" si="5"/>
        <v>-1.7173699705593792E-3</v>
      </c>
      <c r="D120">
        <f t="shared" si="6"/>
        <v>1.1391377379619263</v>
      </c>
      <c r="E120">
        <f t="shared" si="7"/>
        <v>1.1499004603707854</v>
      </c>
      <c r="F120">
        <f t="shared" si="8"/>
        <v>-9.359699191170523E-3</v>
      </c>
      <c r="G120">
        <f t="shared" si="9"/>
        <v>0.10621398441208599</v>
      </c>
      <c r="H120" s="1"/>
    </row>
    <row r="121" spans="1:8" x14ac:dyDescent="0.45">
      <c r="A121" s="1">
        <v>44420</v>
      </c>
      <c r="B121">
        <v>367.53</v>
      </c>
      <c r="C121">
        <f t="shared" si="5"/>
        <v>3.6044892274924578E-3</v>
      </c>
      <c r="D121">
        <f t="shared" si="6"/>
        <v>1.1432437476670403</v>
      </c>
      <c r="E121">
        <f t="shared" si="7"/>
        <v>1.1499004603707854</v>
      </c>
      <c r="F121">
        <f t="shared" si="8"/>
        <v>-5.7889468985852233E-3</v>
      </c>
      <c r="G121">
        <f t="shared" si="9"/>
        <v>0.10294254619828913</v>
      </c>
      <c r="H121" s="1"/>
    </row>
    <row r="122" spans="1:8" x14ac:dyDescent="0.45">
      <c r="A122" s="1">
        <v>44421</v>
      </c>
      <c r="B122">
        <v>368.82</v>
      </c>
      <c r="C122">
        <f t="shared" si="5"/>
        <v>3.5099175577504305E-3</v>
      </c>
      <c r="D122">
        <f t="shared" si="6"/>
        <v>1.1472564389697653</v>
      </c>
      <c r="E122">
        <f t="shared" si="7"/>
        <v>1.1499004603707854</v>
      </c>
      <c r="F122">
        <f t="shared" si="8"/>
        <v>-2.2993480671950062E-3</v>
      </c>
      <c r="G122">
        <f t="shared" si="9"/>
        <v>9.7459243658183384E-2</v>
      </c>
      <c r="H122" s="1"/>
    </row>
    <row r="123" spans="1:8" x14ac:dyDescent="0.45">
      <c r="A123" s="1">
        <v>44424</v>
      </c>
      <c r="B123">
        <v>368.98</v>
      </c>
      <c r="C123">
        <f t="shared" si="5"/>
        <v>4.3381595358171765E-4</v>
      </c>
      <c r="D123">
        <f t="shared" si="6"/>
        <v>1.1477541371158397</v>
      </c>
      <c r="E123">
        <f t="shared" si="7"/>
        <v>1.1499004603707854</v>
      </c>
      <c r="F123">
        <f t="shared" si="8"/>
        <v>-1.8665296074875659E-3</v>
      </c>
      <c r="G123">
        <f t="shared" si="9"/>
        <v>9.0571328046259184E-2</v>
      </c>
      <c r="H123" s="1"/>
    </row>
    <row r="124" spans="1:8" x14ac:dyDescent="0.45">
      <c r="A124" s="1">
        <v>44425</v>
      </c>
      <c r="B124">
        <v>365.73</v>
      </c>
      <c r="C124">
        <f t="shared" si="5"/>
        <v>-8.8080654778036616E-3</v>
      </c>
      <c r="D124">
        <f t="shared" si="6"/>
        <v>1.1376446435237033</v>
      </c>
      <c r="E124">
        <f t="shared" si="7"/>
        <v>1.1499004603707854</v>
      </c>
      <c r="F124">
        <f t="shared" si="8"/>
        <v>-1.0658154570292289E-2</v>
      </c>
      <c r="G124">
        <f t="shared" si="9"/>
        <v>9.0811311955646803E-2</v>
      </c>
      <c r="H124" s="1"/>
    </row>
    <row r="125" spans="1:8" x14ac:dyDescent="0.45">
      <c r="A125" s="1">
        <v>44426</v>
      </c>
      <c r="B125">
        <v>362.21</v>
      </c>
      <c r="C125">
        <f t="shared" si="5"/>
        <v>-9.6245864435513528E-3</v>
      </c>
      <c r="D125">
        <f t="shared" si="6"/>
        <v>1.1266952843100662</v>
      </c>
      <c r="E125">
        <f t="shared" si="7"/>
        <v>1.1499004603707854</v>
      </c>
      <c r="F125">
        <f t="shared" si="8"/>
        <v>-2.0180160683853199E-2</v>
      </c>
      <c r="G125">
        <f t="shared" si="9"/>
        <v>9.4516341840467949E-2</v>
      </c>
      <c r="H125" s="1"/>
    </row>
    <row r="126" spans="1:8" x14ac:dyDescent="0.45">
      <c r="A126" s="1">
        <v>44427</v>
      </c>
      <c r="B126">
        <v>363.96</v>
      </c>
      <c r="C126">
        <f t="shared" si="5"/>
        <v>4.8314513679910132E-3</v>
      </c>
      <c r="D126">
        <f t="shared" si="6"/>
        <v>1.1321388577827551</v>
      </c>
      <c r="E126">
        <f t="shared" si="7"/>
        <v>1.1499004603707854</v>
      </c>
      <c r="F126">
        <f t="shared" si="8"/>
        <v>-1.5446208780804382E-2</v>
      </c>
      <c r="G126">
        <f t="shared" si="9"/>
        <v>9.3093159388532479E-2</v>
      </c>
      <c r="H126" s="1"/>
    </row>
    <row r="127" spans="1:8" x14ac:dyDescent="0.45">
      <c r="A127" s="1">
        <v>44428</v>
      </c>
      <c r="B127">
        <v>367.73</v>
      </c>
      <c r="C127">
        <f t="shared" si="5"/>
        <v>1.0358281129794644E-2</v>
      </c>
      <c r="D127">
        <f t="shared" si="6"/>
        <v>1.1438658703496336</v>
      </c>
      <c r="E127">
        <f t="shared" si="7"/>
        <v>1.1499004603707854</v>
      </c>
      <c r="F127">
        <f t="shared" si="8"/>
        <v>-5.2479238239507842E-3</v>
      </c>
      <c r="G127">
        <f t="shared" si="9"/>
        <v>9.0995959127686404E-2</v>
      </c>
      <c r="H127" s="1"/>
    </row>
    <row r="128" spans="1:8" x14ac:dyDescent="0.45">
      <c r="A128" s="1">
        <v>44431</v>
      </c>
      <c r="B128">
        <v>373.23</v>
      </c>
      <c r="C128">
        <f t="shared" si="5"/>
        <v>1.4956625785222943E-2</v>
      </c>
      <c r="D128">
        <f t="shared" si="6"/>
        <v>1.1609742441209414</v>
      </c>
      <c r="E128">
        <f t="shared" si="7"/>
        <v>1.1609742441209414</v>
      </c>
      <c r="F128">
        <f t="shared" si="8"/>
        <v>0</v>
      </c>
      <c r="G128">
        <f t="shared" si="9"/>
        <v>0.10547040300088752</v>
      </c>
      <c r="H128" s="1"/>
    </row>
    <row r="129" spans="1:8" x14ac:dyDescent="0.45">
      <c r="A129" s="1">
        <v>44432</v>
      </c>
      <c r="B129">
        <v>374.37</v>
      </c>
      <c r="C129">
        <f t="shared" si="5"/>
        <v>3.0544168475201694E-3</v>
      </c>
      <c r="D129">
        <f t="shared" si="6"/>
        <v>1.1645203434117215</v>
      </c>
      <c r="E129">
        <f t="shared" si="7"/>
        <v>1.1645203434117215</v>
      </c>
      <c r="F129">
        <f t="shared" si="8"/>
        <v>0</v>
      </c>
      <c r="G129">
        <f t="shared" si="9"/>
        <v>9.6228301736399874E-2</v>
      </c>
      <c r="H129" s="1"/>
    </row>
    <row r="130" spans="1:8" x14ac:dyDescent="0.45">
      <c r="A130" s="1">
        <v>44433</v>
      </c>
      <c r="B130">
        <v>374.8</v>
      </c>
      <c r="C130">
        <f t="shared" si="5"/>
        <v>1.1485963084649775E-3</v>
      </c>
      <c r="D130">
        <f t="shared" si="6"/>
        <v>1.1658579071792965</v>
      </c>
      <c r="E130">
        <f t="shared" si="7"/>
        <v>1.1658579071792965</v>
      </c>
      <c r="F130">
        <f t="shared" si="8"/>
        <v>0</v>
      </c>
      <c r="G130">
        <f t="shared" si="9"/>
        <v>9.5782375002348083E-2</v>
      </c>
      <c r="H130" s="1"/>
    </row>
    <row r="131" spans="1:8" x14ac:dyDescent="0.45">
      <c r="A131" s="1">
        <v>44434</v>
      </c>
      <c r="B131">
        <v>372.42</v>
      </c>
      <c r="C131">
        <f t="shared" si="5"/>
        <v>-6.3500533617929511E-3</v>
      </c>
      <c r="D131">
        <f t="shared" si="6"/>
        <v>1.1584546472564397</v>
      </c>
      <c r="E131">
        <f t="shared" si="7"/>
        <v>1.1658579071792965</v>
      </c>
      <c r="F131">
        <f t="shared" si="8"/>
        <v>-6.3500533617929511E-3</v>
      </c>
      <c r="G131">
        <f t="shared" si="9"/>
        <v>9.9440373876032953E-2</v>
      </c>
      <c r="H131" s="1"/>
    </row>
    <row r="132" spans="1:8" x14ac:dyDescent="0.45">
      <c r="A132" s="1">
        <v>44435</v>
      </c>
      <c r="B132">
        <v>376.04</v>
      </c>
      <c r="C132">
        <f t="shared" ref="C132:C195" si="10">IFERROR((B132/B131)-1,"")</f>
        <v>9.7202083668976869E-3</v>
      </c>
      <c r="D132">
        <f t="shared" ref="D132:D195" si="11">D131*(1+C132)</f>
        <v>1.1697150678113732</v>
      </c>
      <c r="E132">
        <f t="shared" ref="E132:E195" si="12">MAX(E131,D132)</f>
        <v>1.1697150678113732</v>
      </c>
      <c r="F132">
        <f t="shared" ref="F132:F195" si="13">D132/E132-1</f>
        <v>0</v>
      </c>
      <c r="G132">
        <f t="shared" si="9"/>
        <v>0.10152579142319199</v>
      </c>
      <c r="H132" s="1"/>
    </row>
    <row r="133" spans="1:8" x14ac:dyDescent="0.45">
      <c r="A133" s="1">
        <v>44438</v>
      </c>
      <c r="B133">
        <v>380.26</v>
      </c>
      <c r="C133">
        <f t="shared" si="10"/>
        <v>1.1222210403148525E-2</v>
      </c>
      <c r="D133">
        <f t="shared" si="11"/>
        <v>1.1828418564140857</v>
      </c>
      <c r="E133">
        <f t="shared" si="12"/>
        <v>1.1828418564140857</v>
      </c>
      <c r="F133">
        <f t="shared" si="13"/>
        <v>0</v>
      </c>
      <c r="G133">
        <f t="shared" si="9"/>
        <v>0.10691896038872716</v>
      </c>
      <c r="H133" s="1"/>
    </row>
    <row r="134" spans="1:8" x14ac:dyDescent="0.45">
      <c r="A134" s="1">
        <v>44439</v>
      </c>
      <c r="B134">
        <v>379.95</v>
      </c>
      <c r="C134">
        <f t="shared" si="10"/>
        <v>-8.1523168358488274E-4</v>
      </c>
      <c r="D134">
        <f t="shared" si="11"/>
        <v>1.1818775662560665</v>
      </c>
      <c r="E134">
        <f t="shared" si="12"/>
        <v>1.1828418564140857</v>
      </c>
      <c r="F134">
        <f t="shared" si="13"/>
        <v>-8.1523168358488274E-4</v>
      </c>
      <c r="G134">
        <f t="shared" si="9"/>
        <v>0.10634710264605636</v>
      </c>
      <c r="H134" s="1"/>
    </row>
    <row r="135" spans="1:8" x14ac:dyDescent="0.45">
      <c r="A135" s="1">
        <v>44440</v>
      </c>
      <c r="B135">
        <v>380.58</v>
      </c>
      <c r="C135">
        <f t="shared" si="10"/>
        <v>1.65811290959339E-3</v>
      </c>
      <c r="D135">
        <f t="shared" si="11"/>
        <v>1.1838372527062346</v>
      </c>
      <c r="E135">
        <f t="shared" si="12"/>
        <v>1.1838372527062346</v>
      </c>
      <c r="F135">
        <f t="shared" si="13"/>
        <v>0</v>
      </c>
      <c r="G135">
        <f t="shared" si="9"/>
        <v>0.10634081515916285</v>
      </c>
      <c r="H135" s="1"/>
    </row>
    <row r="136" spans="1:8" x14ac:dyDescent="0.45">
      <c r="A136" s="1">
        <v>44441</v>
      </c>
      <c r="B136">
        <v>380.4</v>
      </c>
      <c r="C136">
        <f t="shared" si="10"/>
        <v>-4.7296232066851296E-4</v>
      </c>
      <c r="D136">
        <f t="shared" si="11"/>
        <v>1.183277342291901</v>
      </c>
      <c r="E136">
        <f t="shared" si="12"/>
        <v>1.1838372527062346</v>
      </c>
      <c r="F136">
        <f t="shared" si="13"/>
        <v>-4.7296232066840194E-4</v>
      </c>
      <c r="G136">
        <f t="shared" si="9"/>
        <v>0.10521949405136033</v>
      </c>
      <c r="H136" s="1"/>
    </row>
    <row r="137" spans="1:8" x14ac:dyDescent="0.45">
      <c r="A137" s="1">
        <v>44442</v>
      </c>
      <c r="B137">
        <v>381.57</v>
      </c>
      <c r="C137">
        <f t="shared" si="10"/>
        <v>3.0757097791798138E-3</v>
      </c>
      <c r="D137">
        <f t="shared" si="11"/>
        <v>1.1869167599850701</v>
      </c>
      <c r="E137">
        <f t="shared" si="12"/>
        <v>1.1869167599850701</v>
      </c>
      <c r="F137">
        <f t="shared" si="13"/>
        <v>0</v>
      </c>
      <c r="G137">
        <f t="shared" si="9"/>
        <v>0.10304206238783904</v>
      </c>
      <c r="H137" s="1"/>
    </row>
    <row r="138" spans="1:8" x14ac:dyDescent="0.45">
      <c r="A138" s="1">
        <v>44446</v>
      </c>
      <c r="B138">
        <v>382.11</v>
      </c>
      <c r="C138">
        <f t="shared" si="10"/>
        <v>1.4152055979244071E-3</v>
      </c>
      <c r="D138">
        <f t="shared" si="11"/>
        <v>1.1885964912280713</v>
      </c>
      <c r="E138">
        <f t="shared" si="12"/>
        <v>1.1885964912280713</v>
      </c>
      <c r="F138">
        <f t="shared" si="13"/>
        <v>0</v>
      </c>
      <c r="G138">
        <f t="shared" si="9"/>
        <v>0.10305225595084641</v>
      </c>
      <c r="H138" s="1"/>
    </row>
    <row r="139" spans="1:8" x14ac:dyDescent="0.45">
      <c r="A139" s="1">
        <v>44447</v>
      </c>
      <c r="B139">
        <v>380.78</v>
      </c>
      <c r="C139">
        <f t="shared" si="10"/>
        <v>-3.4806731046035377E-3</v>
      </c>
      <c r="D139">
        <f t="shared" si="11"/>
        <v>1.1844593753888277</v>
      </c>
      <c r="E139">
        <f t="shared" si="12"/>
        <v>1.1885964912280713</v>
      </c>
      <c r="F139">
        <f t="shared" si="13"/>
        <v>-3.4806731046034267E-3</v>
      </c>
      <c r="G139">
        <f t="shared" si="9"/>
        <v>0.10174225791587319</v>
      </c>
      <c r="H139" s="1"/>
    </row>
    <row r="140" spans="1:8" x14ac:dyDescent="0.45">
      <c r="A140" s="1">
        <v>44448</v>
      </c>
      <c r="B140">
        <v>379.47</v>
      </c>
      <c r="C140">
        <f t="shared" si="10"/>
        <v>-3.4403067387991371E-3</v>
      </c>
      <c r="D140">
        <f t="shared" si="11"/>
        <v>1.1803844718178438</v>
      </c>
      <c r="E140">
        <f t="shared" si="12"/>
        <v>1.1885964912280713</v>
      </c>
      <c r="F140">
        <f t="shared" si="13"/>
        <v>-6.9090052602652774E-3</v>
      </c>
      <c r="G140">
        <f t="shared" si="9"/>
        <v>0.10273059876837741</v>
      </c>
      <c r="H140" s="1"/>
    </row>
    <row r="141" spans="1:8" x14ac:dyDescent="0.45">
      <c r="A141" s="1">
        <v>44449</v>
      </c>
      <c r="B141">
        <v>376.59</v>
      </c>
      <c r="C141">
        <f t="shared" si="10"/>
        <v>-7.5895327693890069E-3</v>
      </c>
      <c r="D141">
        <f t="shared" si="11"/>
        <v>1.1714259051885043</v>
      </c>
      <c r="E141">
        <f t="shared" si="12"/>
        <v>1.1885964912280713</v>
      </c>
      <c r="F141">
        <f t="shared" si="13"/>
        <v>-1.444610190782758E-2</v>
      </c>
      <c r="G141">
        <f t="shared" si="9"/>
        <v>0.10768738506392452</v>
      </c>
      <c r="H141" s="1"/>
    </row>
    <row r="142" spans="1:8" x14ac:dyDescent="0.45">
      <c r="A142" s="1">
        <v>44452</v>
      </c>
      <c r="B142">
        <v>376.33</v>
      </c>
      <c r="C142">
        <f t="shared" si="10"/>
        <v>-6.9040601184311434E-4</v>
      </c>
      <c r="D142">
        <f t="shared" si="11"/>
        <v>1.1706171457011334</v>
      </c>
      <c r="E142">
        <f t="shared" si="12"/>
        <v>1.1885964912280713</v>
      </c>
      <c r="F142">
        <f t="shared" si="13"/>
        <v>-1.5126534244065848E-2</v>
      </c>
      <c r="G142">
        <f t="shared" si="9"/>
        <v>0.10754522978948793</v>
      </c>
      <c r="H142" s="1"/>
    </row>
    <row r="143" spans="1:8" x14ac:dyDescent="0.45">
      <c r="A143" s="1">
        <v>44453</v>
      </c>
      <c r="B143">
        <v>375.26</v>
      </c>
      <c r="C143">
        <f t="shared" si="10"/>
        <v>-2.843249275901405E-3</v>
      </c>
      <c r="D143">
        <f t="shared" si="11"/>
        <v>1.1672887893492609</v>
      </c>
      <c r="E143">
        <f t="shared" si="12"/>
        <v>1.1885964912280713</v>
      </c>
      <c r="F143">
        <f t="shared" si="13"/>
        <v>-1.7926775012430896E-2</v>
      </c>
      <c r="G143">
        <f t="shared" si="9"/>
        <v>0.10841184174137097</v>
      </c>
      <c r="H143" s="1"/>
    </row>
    <row r="144" spans="1:8" x14ac:dyDescent="0.45">
      <c r="A144" s="1">
        <v>44454</v>
      </c>
      <c r="B144">
        <v>378.05</v>
      </c>
      <c r="C144">
        <f t="shared" si="10"/>
        <v>7.4348451740127164E-3</v>
      </c>
      <c r="D144">
        <f t="shared" si="11"/>
        <v>1.1759674007714334</v>
      </c>
      <c r="E144">
        <f t="shared" si="12"/>
        <v>1.1885964912280713</v>
      </c>
      <c r="F144">
        <f t="shared" si="13"/>
        <v>-1.0625212635104964E-2</v>
      </c>
      <c r="G144">
        <f t="shared" si="9"/>
        <v>0.10444652430992539</v>
      </c>
      <c r="H144" s="1"/>
    </row>
    <row r="145" spans="1:8" x14ac:dyDescent="0.45">
      <c r="A145" s="1">
        <v>44455</v>
      </c>
      <c r="B145">
        <v>378.31</v>
      </c>
      <c r="C145">
        <f t="shared" si="10"/>
        <v>6.8773971696867164E-4</v>
      </c>
      <c r="D145">
        <f t="shared" si="11"/>
        <v>1.1767761602588043</v>
      </c>
      <c r="E145">
        <f t="shared" si="12"/>
        <v>1.1885964912280713</v>
      </c>
      <c r="F145">
        <f t="shared" si="13"/>
        <v>-9.9447802988666956E-3</v>
      </c>
      <c r="G145">
        <f t="shared" si="9"/>
        <v>9.5692701469318367E-2</v>
      </c>
      <c r="H145" s="1"/>
    </row>
    <row r="146" spans="1:8" x14ac:dyDescent="0.45">
      <c r="A146" s="1">
        <v>44456</v>
      </c>
      <c r="B146">
        <v>373.83</v>
      </c>
      <c r="C146">
        <f t="shared" si="10"/>
        <v>-1.1842140043879401E-2</v>
      </c>
      <c r="D146">
        <f t="shared" si="11"/>
        <v>1.1628406121687209</v>
      </c>
      <c r="E146">
        <f t="shared" si="12"/>
        <v>1.1885964912280713</v>
      </c>
      <c r="F146">
        <f t="shared" si="13"/>
        <v>-2.1669152861741314E-2</v>
      </c>
      <c r="G146">
        <f t="shared" si="9"/>
        <v>0.10720778126697818</v>
      </c>
      <c r="H146" s="1"/>
    </row>
    <row r="147" spans="1:8" x14ac:dyDescent="0.45">
      <c r="A147" s="1">
        <v>44459</v>
      </c>
      <c r="B147">
        <v>365.7</v>
      </c>
      <c r="C147">
        <f t="shared" si="10"/>
        <v>-2.1747853302303222E-2</v>
      </c>
      <c r="D147">
        <f t="shared" si="11"/>
        <v>1.1375513251213152</v>
      </c>
      <c r="E147">
        <f t="shared" si="12"/>
        <v>1.1885964912280713</v>
      </c>
      <c r="F147">
        <f t="shared" si="13"/>
        <v>-4.2945748606422085E-2</v>
      </c>
      <c r="G147">
        <f t="shared" si="9"/>
        <v>0.12968615507582901</v>
      </c>
      <c r="H147" s="1"/>
    </row>
    <row r="148" spans="1:8" x14ac:dyDescent="0.45">
      <c r="A148" s="1">
        <v>44460</v>
      </c>
      <c r="B148">
        <v>366.15</v>
      </c>
      <c r="C148">
        <f t="shared" si="10"/>
        <v>1.2305168170632097E-3</v>
      </c>
      <c r="D148">
        <f t="shared" si="11"/>
        <v>1.1389511011571496</v>
      </c>
      <c r="E148">
        <f t="shared" si="12"/>
        <v>1.1885964912280713</v>
      </c>
      <c r="F148">
        <f t="shared" si="13"/>
        <v>-4.1768077255240343E-2</v>
      </c>
      <c r="G148">
        <f t="shared" si="9"/>
        <v>0.11686521791446343</v>
      </c>
      <c r="H148" s="1"/>
    </row>
    <row r="149" spans="1:8" x14ac:dyDescent="0.45">
      <c r="A149" s="1">
        <v>44461</v>
      </c>
      <c r="B149">
        <v>369.57</v>
      </c>
      <c r="C149">
        <f t="shared" si="10"/>
        <v>9.340434248259033E-3</v>
      </c>
      <c r="D149">
        <f t="shared" si="11"/>
        <v>1.1495893990294901</v>
      </c>
      <c r="E149">
        <f t="shared" si="12"/>
        <v>1.1885964912280713</v>
      </c>
      <c r="F149">
        <f t="shared" si="13"/>
        <v>-3.2817774986260151E-2</v>
      </c>
      <c r="G149">
        <f t="shared" si="9"/>
        <v>0.12173719241352417</v>
      </c>
      <c r="H149" s="1"/>
    </row>
    <row r="150" spans="1:8" x14ac:dyDescent="0.45">
      <c r="A150" s="1">
        <v>44462</v>
      </c>
      <c r="B150">
        <v>372.98</v>
      </c>
      <c r="C150">
        <f t="shared" si="10"/>
        <v>9.226939416078217E-3</v>
      </c>
      <c r="D150">
        <f t="shared" si="11"/>
        <v>1.160196590767701</v>
      </c>
      <c r="E150">
        <f t="shared" si="12"/>
        <v>1.1885964912280713</v>
      </c>
      <c r="F150">
        <f t="shared" si="13"/>
        <v>-2.3893643191750691E-2</v>
      </c>
      <c r="G150">
        <f t="shared" ref="G150:G213" si="14">_xlfn.STDEV.S(C131:C150)*SQRT(252)</f>
        <v>0.12657231166795391</v>
      </c>
      <c r="H150" s="1"/>
    </row>
    <row r="151" spans="1:8" x14ac:dyDescent="0.45">
      <c r="A151" s="1">
        <v>44463</v>
      </c>
      <c r="B151">
        <v>373.33</v>
      </c>
      <c r="C151">
        <f t="shared" si="10"/>
        <v>9.3838811732527283E-4</v>
      </c>
      <c r="D151">
        <f t="shared" si="11"/>
        <v>1.1612853054622387</v>
      </c>
      <c r="E151">
        <f t="shared" si="12"/>
        <v>1.1885964912280713</v>
      </c>
      <c r="F151">
        <f t="shared" si="13"/>
        <v>-2.2977676585276052E-2</v>
      </c>
      <c r="G151">
        <f t="shared" si="14"/>
        <v>0.12451254505731969</v>
      </c>
      <c r="H151" s="1"/>
    </row>
    <row r="152" spans="1:8" x14ac:dyDescent="0.45">
      <c r="A152" s="1">
        <v>44466</v>
      </c>
      <c r="B152">
        <v>370.35</v>
      </c>
      <c r="C152">
        <f t="shared" si="10"/>
        <v>-7.9822141269116909E-3</v>
      </c>
      <c r="D152">
        <f t="shared" si="11"/>
        <v>1.1520156774916031</v>
      </c>
      <c r="E152">
        <f t="shared" si="12"/>
        <v>1.1885964912280713</v>
      </c>
      <c r="F152">
        <f t="shared" si="13"/>
        <v>-3.0776477977545236E-2</v>
      </c>
      <c r="G152">
        <f t="shared" si="14"/>
        <v>0.12230529802651376</v>
      </c>
      <c r="H152" s="1"/>
    </row>
    <row r="153" spans="1:8" x14ac:dyDescent="0.45">
      <c r="A153" s="1">
        <v>44467</v>
      </c>
      <c r="B153">
        <v>359.87</v>
      </c>
      <c r="C153">
        <f t="shared" si="10"/>
        <v>-2.8297556365600163E-2</v>
      </c>
      <c r="D153">
        <f t="shared" si="11"/>
        <v>1.1194164489237293</v>
      </c>
      <c r="E153">
        <f t="shared" si="12"/>
        <v>1.1885964912280713</v>
      </c>
      <c r="F153">
        <f t="shared" si="13"/>
        <v>-5.8203135222841262E-2</v>
      </c>
      <c r="G153">
        <f t="shared" si="14"/>
        <v>0.14867362300075182</v>
      </c>
      <c r="H153" s="1"/>
    </row>
    <row r="154" spans="1:8" x14ac:dyDescent="0.45">
      <c r="A154" s="1">
        <v>44468</v>
      </c>
      <c r="B154">
        <v>359.28</v>
      </c>
      <c r="C154">
        <f t="shared" si="10"/>
        <v>-1.6394809236669472E-3</v>
      </c>
      <c r="D154">
        <f t="shared" si="11"/>
        <v>1.1175811870100798</v>
      </c>
      <c r="E154">
        <f t="shared" si="12"/>
        <v>1.1885964912280713</v>
      </c>
      <c r="F154">
        <f t="shared" si="13"/>
        <v>-5.9747193216612704E-2</v>
      </c>
      <c r="G154">
        <f t="shared" si="14"/>
        <v>0.14856306734468594</v>
      </c>
      <c r="H154" s="1"/>
    </row>
    <row r="155" spans="1:8" x14ac:dyDescent="0.45">
      <c r="A155" s="1">
        <v>44469</v>
      </c>
      <c r="B155">
        <v>357.96</v>
      </c>
      <c r="C155">
        <f t="shared" si="10"/>
        <v>-3.6740146960587694E-3</v>
      </c>
      <c r="D155">
        <f t="shared" si="11"/>
        <v>1.113475177304966</v>
      </c>
      <c r="E155">
        <f t="shared" si="12"/>
        <v>1.1885964912280713</v>
      </c>
      <c r="F155">
        <f t="shared" si="13"/>
        <v>-6.3201695846745287E-2</v>
      </c>
      <c r="G155">
        <f t="shared" si="14"/>
        <v>0.14766719759570027</v>
      </c>
      <c r="H155" s="1"/>
    </row>
    <row r="156" spans="1:8" x14ac:dyDescent="0.45">
      <c r="A156" s="1">
        <v>44470</v>
      </c>
      <c r="B156">
        <v>360.18</v>
      </c>
      <c r="C156">
        <f t="shared" si="10"/>
        <v>6.201810258129381E-3</v>
      </c>
      <c r="D156">
        <f t="shared" si="11"/>
        <v>1.1203807390817484</v>
      </c>
      <c r="E156">
        <f t="shared" si="12"/>
        <v>1.1885964912280713</v>
      </c>
      <c r="F156">
        <f t="shared" si="13"/>
        <v>-5.7391850514249443E-2</v>
      </c>
      <c r="G156">
        <f t="shared" si="14"/>
        <v>0.15105461860176547</v>
      </c>
      <c r="H156" s="1"/>
    </row>
    <row r="157" spans="1:8" x14ac:dyDescent="0.45">
      <c r="A157" s="1">
        <v>44473</v>
      </c>
      <c r="B157">
        <v>352.62</v>
      </c>
      <c r="C157">
        <f t="shared" si="10"/>
        <v>-2.0989505247376306E-2</v>
      </c>
      <c r="D157">
        <f t="shared" si="11"/>
        <v>1.0968645016797327</v>
      </c>
      <c r="E157">
        <f t="shared" si="12"/>
        <v>1.1885964912280713</v>
      </c>
      <c r="F157">
        <f t="shared" si="13"/>
        <v>-7.7176729214100348E-2</v>
      </c>
      <c r="G157">
        <f t="shared" si="14"/>
        <v>0.16259750716576257</v>
      </c>
      <c r="H157" s="1"/>
    </row>
    <row r="158" spans="1:8" x14ac:dyDescent="0.45">
      <c r="A158" s="1">
        <v>44474</v>
      </c>
      <c r="B158">
        <v>357.38</v>
      </c>
      <c r="C158">
        <f t="shared" si="10"/>
        <v>1.3498950711814395E-2</v>
      </c>
      <c r="D158">
        <f t="shared" si="11"/>
        <v>1.1116710215254462</v>
      </c>
      <c r="E158">
        <f t="shared" si="12"/>
        <v>1.1885964912280713</v>
      </c>
      <c r="F158">
        <f t="shared" si="13"/>
        <v>-6.4719583366046218E-2</v>
      </c>
      <c r="G158">
        <f t="shared" si="14"/>
        <v>0.17313963569403323</v>
      </c>
      <c r="H158" s="1"/>
    </row>
    <row r="159" spans="1:8" x14ac:dyDescent="0.45">
      <c r="A159" s="1">
        <v>44475</v>
      </c>
      <c r="B159">
        <v>359.67</v>
      </c>
      <c r="C159">
        <f t="shared" si="10"/>
        <v>6.4077452571493776E-3</v>
      </c>
      <c r="D159">
        <f t="shared" si="11"/>
        <v>1.1187943262411362</v>
      </c>
      <c r="E159">
        <f t="shared" si="12"/>
        <v>1.1885964912280713</v>
      </c>
      <c r="F159">
        <f t="shared" si="13"/>
        <v>-5.8726544712255357E-2</v>
      </c>
      <c r="G159">
        <f t="shared" si="14"/>
        <v>0.17651483262853457</v>
      </c>
      <c r="H159" s="1"/>
    </row>
    <row r="160" spans="1:8" x14ac:dyDescent="0.45">
      <c r="A160" s="1">
        <v>44476</v>
      </c>
      <c r="B160">
        <v>362.97</v>
      </c>
      <c r="C160">
        <f t="shared" si="10"/>
        <v>9.1750771540579645E-3</v>
      </c>
      <c r="D160">
        <f t="shared" si="11"/>
        <v>1.1290593505039208</v>
      </c>
      <c r="E160">
        <f t="shared" si="12"/>
        <v>1.1885964912280713</v>
      </c>
      <c r="F160">
        <f t="shared" si="13"/>
        <v>-5.0090288136923622E-2</v>
      </c>
      <c r="G160">
        <f t="shared" si="14"/>
        <v>0.18150650361334361</v>
      </c>
      <c r="H160" s="1"/>
    </row>
    <row r="161" spans="1:8" x14ac:dyDescent="0.45">
      <c r="A161" s="1">
        <v>44477</v>
      </c>
      <c r="B161">
        <v>361.16</v>
      </c>
      <c r="C161">
        <f t="shared" si="10"/>
        <v>-4.9866380141609934E-3</v>
      </c>
      <c r="D161">
        <f t="shared" si="11"/>
        <v>1.123429140226454</v>
      </c>
      <c r="E161">
        <f t="shared" si="12"/>
        <v>1.1885964912280713</v>
      </c>
      <c r="F161">
        <f t="shared" si="13"/>
        <v>-5.4827144016120766E-2</v>
      </c>
      <c r="G161">
        <f t="shared" si="14"/>
        <v>0.18070675940149095</v>
      </c>
      <c r="H161" s="1"/>
    </row>
    <row r="162" spans="1:8" x14ac:dyDescent="0.45">
      <c r="A162" s="1">
        <v>44480</v>
      </c>
      <c r="B162">
        <v>358.39</v>
      </c>
      <c r="C162">
        <f t="shared" si="10"/>
        <v>-7.6697308672057929E-3</v>
      </c>
      <c r="D162">
        <f t="shared" si="11"/>
        <v>1.1148127410725408</v>
      </c>
      <c r="E162">
        <f t="shared" si="12"/>
        <v>1.1885964912280713</v>
      </c>
      <c r="F162">
        <f t="shared" si="13"/>
        <v>-6.2076365444505344E-2</v>
      </c>
      <c r="G162">
        <f t="shared" si="14"/>
        <v>0.18171720225348134</v>
      </c>
      <c r="H162" s="1"/>
    </row>
    <row r="163" spans="1:8" x14ac:dyDescent="0.45">
      <c r="A163" s="1">
        <v>44481</v>
      </c>
      <c r="B163">
        <v>357.14</v>
      </c>
      <c r="C163">
        <f t="shared" si="10"/>
        <v>-3.4878205307067311E-3</v>
      </c>
      <c r="D163">
        <f t="shared" si="11"/>
        <v>1.1109244743063345</v>
      </c>
      <c r="E163">
        <f t="shared" si="12"/>
        <v>1.1885964912280713</v>
      </c>
      <c r="F163">
        <f t="shared" si="13"/>
        <v>-6.5347674753343132E-2</v>
      </c>
      <c r="G163">
        <f t="shared" si="14"/>
        <v>0.18175356151708399</v>
      </c>
      <c r="H163" s="1"/>
    </row>
    <row r="164" spans="1:8" x14ac:dyDescent="0.45">
      <c r="A164" s="1">
        <v>44482</v>
      </c>
      <c r="B164">
        <v>360</v>
      </c>
      <c r="C164">
        <f t="shared" si="10"/>
        <v>8.0080640645125989E-3</v>
      </c>
      <c r="D164">
        <f t="shared" si="11"/>
        <v>1.1198208286674145</v>
      </c>
      <c r="E164">
        <f t="shared" si="12"/>
        <v>1.1885964912280713</v>
      </c>
      <c r="F164">
        <f t="shared" si="13"/>
        <v>-5.7862919054722295E-2</v>
      </c>
      <c r="G164">
        <f t="shared" si="14"/>
        <v>0.18217621280955024</v>
      </c>
      <c r="H164" s="1"/>
    </row>
    <row r="165" spans="1:8" x14ac:dyDescent="0.45">
      <c r="A165" s="1">
        <v>44483</v>
      </c>
      <c r="B165">
        <v>366.63</v>
      </c>
      <c r="C165">
        <f t="shared" si="10"/>
        <v>1.8416666666666748E-2</v>
      </c>
      <c r="D165">
        <f t="shared" si="11"/>
        <v>1.1404441955953728</v>
      </c>
      <c r="E165">
        <f t="shared" si="12"/>
        <v>1.1885964912280713</v>
      </c>
      <c r="F165">
        <f t="shared" si="13"/>
        <v>-4.0511894480646737E-2</v>
      </c>
      <c r="G165">
        <f t="shared" si="14"/>
        <v>0.19644662409391786</v>
      </c>
      <c r="H165" s="1"/>
    </row>
    <row r="166" spans="1:8" x14ac:dyDescent="0.45">
      <c r="A166" s="1">
        <v>44484</v>
      </c>
      <c r="B166">
        <v>368.94</v>
      </c>
      <c r="C166">
        <f t="shared" si="10"/>
        <v>6.3006300630064072E-3</v>
      </c>
      <c r="D166">
        <f t="shared" si="11"/>
        <v>1.1476297125793222</v>
      </c>
      <c r="E166">
        <f t="shared" si="12"/>
        <v>1.1885964912280713</v>
      </c>
      <c r="F166">
        <f t="shared" si="13"/>
        <v>-3.44665148779143E-2</v>
      </c>
      <c r="G166">
        <f t="shared" si="14"/>
        <v>0.19431509204269173</v>
      </c>
      <c r="H166" s="1"/>
    </row>
    <row r="167" spans="1:8" x14ac:dyDescent="0.45">
      <c r="A167" s="1">
        <v>44487</v>
      </c>
      <c r="B167">
        <v>372.65</v>
      </c>
      <c r="C167">
        <f t="shared" si="10"/>
        <v>1.0055835637230892E-2</v>
      </c>
      <c r="D167">
        <f t="shared" si="11"/>
        <v>1.1591700883414224</v>
      </c>
      <c r="E167">
        <f t="shared" si="12"/>
        <v>1.1885964912280713</v>
      </c>
      <c r="F167">
        <f t="shared" si="13"/>
        <v>-2.4757268849283864E-2</v>
      </c>
      <c r="G167">
        <f t="shared" si="14"/>
        <v>0.18069440011825261</v>
      </c>
      <c r="H167" s="1"/>
    </row>
    <row r="168" spans="1:8" x14ac:dyDescent="0.45">
      <c r="A168" s="1">
        <v>44488</v>
      </c>
      <c r="B168">
        <v>375.47</v>
      </c>
      <c r="C168">
        <f t="shared" si="10"/>
        <v>7.5674225144237717E-3</v>
      </c>
      <c r="D168">
        <f t="shared" si="11"/>
        <v>1.1679420181659839</v>
      </c>
      <c r="E168">
        <f t="shared" si="12"/>
        <v>1.1885964912280713</v>
      </c>
      <c r="F168">
        <f t="shared" si="13"/>
        <v>-1.7377195048545846E-2</v>
      </c>
      <c r="G168">
        <f t="shared" si="14"/>
        <v>0.18219374973461896</v>
      </c>
      <c r="H168" s="1"/>
    </row>
    <row r="169" spans="1:8" x14ac:dyDescent="0.45">
      <c r="A169" s="1">
        <v>44489</v>
      </c>
      <c r="B169">
        <v>374.98</v>
      </c>
      <c r="C169">
        <f t="shared" si="10"/>
        <v>-1.3050310277785693E-3</v>
      </c>
      <c r="D169">
        <f t="shared" si="11"/>
        <v>1.1664178175936308</v>
      </c>
      <c r="E169">
        <f t="shared" si="12"/>
        <v>1.1885964912280713</v>
      </c>
      <c r="F169">
        <f t="shared" si="13"/>
        <v>-1.8659548297610407E-2</v>
      </c>
      <c r="G169">
        <f t="shared" si="14"/>
        <v>0.17988266847402906</v>
      </c>
      <c r="H169" s="1"/>
    </row>
    <row r="170" spans="1:8" x14ac:dyDescent="0.45">
      <c r="A170" s="1">
        <v>44490</v>
      </c>
      <c r="B170">
        <v>377.27</v>
      </c>
      <c r="C170">
        <f t="shared" si="10"/>
        <v>6.1069923729264453E-3</v>
      </c>
      <c r="D170">
        <f t="shared" si="11"/>
        <v>1.1735411223093206</v>
      </c>
      <c r="E170">
        <f t="shared" si="12"/>
        <v>1.1885964912280713</v>
      </c>
      <c r="F170">
        <f t="shared" si="13"/>
        <v>-1.2666509643819768E-2</v>
      </c>
      <c r="G170">
        <f t="shared" si="14"/>
        <v>0.17827516392566178</v>
      </c>
      <c r="H170" s="1"/>
    </row>
    <row r="171" spans="1:8" x14ac:dyDescent="0.45">
      <c r="A171" s="1">
        <v>44491</v>
      </c>
      <c r="B171">
        <v>374.1</v>
      </c>
      <c r="C171">
        <f t="shared" si="10"/>
        <v>-8.4024703793038613E-3</v>
      </c>
      <c r="D171">
        <f t="shared" si="11"/>
        <v>1.1636804777902214</v>
      </c>
      <c r="E171">
        <f t="shared" si="12"/>
        <v>1.1885964912280713</v>
      </c>
      <c r="F171">
        <f t="shared" si="13"/>
        <v>-2.0962550051032314E-2</v>
      </c>
      <c r="G171">
        <f t="shared" si="14"/>
        <v>0.18112304537017315</v>
      </c>
      <c r="H171" s="1"/>
    </row>
    <row r="172" spans="1:8" x14ac:dyDescent="0.45">
      <c r="A172" s="1">
        <v>44494</v>
      </c>
      <c r="B172">
        <v>377.93</v>
      </c>
      <c r="C172">
        <f t="shared" si="10"/>
        <v>1.0237904303662004E-2</v>
      </c>
      <c r="D172">
        <f t="shared" si="11"/>
        <v>1.1755941271618775</v>
      </c>
      <c r="E172">
        <f t="shared" si="12"/>
        <v>1.1885964912280713</v>
      </c>
      <c r="F172">
        <f t="shared" si="13"/>
        <v>-1.0939258328753421E-2</v>
      </c>
      <c r="G172">
        <f t="shared" si="14"/>
        <v>0.18179837196825904</v>
      </c>
      <c r="H172" s="1"/>
    </row>
    <row r="173" spans="1:8" x14ac:dyDescent="0.45">
      <c r="A173" s="1">
        <v>44495</v>
      </c>
      <c r="B173">
        <v>379.12</v>
      </c>
      <c r="C173">
        <f t="shared" si="10"/>
        <v>3.1487312465270367E-3</v>
      </c>
      <c r="D173">
        <f t="shared" si="11"/>
        <v>1.1792957571233058</v>
      </c>
      <c r="E173">
        <f t="shared" si="12"/>
        <v>1.1885964912280713</v>
      </c>
      <c r="F173">
        <f t="shared" si="13"/>
        <v>-7.824971866740027E-3</v>
      </c>
      <c r="G173">
        <f t="shared" si="14"/>
        <v>0.14494178513703129</v>
      </c>
      <c r="H173" s="1"/>
    </row>
    <row r="174" spans="1:8" x14ac:dyDescent="0.45">
      <c r="A174" s="1">
        <v>44496</v>
      </c>
      <c r="B174">
        <v>380</v>
      </c>
      <c r="C174">
        <f t="shared" si="10"/>
        <v>2.321164802701059E-3</v>
      </c>
      <c r="D174">
        <f t="shared" si="11"/>
        <v>1.1820330969267152</v>
      </c>
      <c r="E174">
        <f t="shared" si="12"/>
        <v>1.1885964912280713</v>
      </c>
      <c r="F174">
        <f t="shared" si="13"/>
        <v>-5.5219701133180088E-3</v>
      </c>
      <c r="G174">
        <f t="shared" si="14"/>
        <v>0.14406688267169915</v>
      </c>
      <c r="H174" s="1"/>
    </row>
    <row r="175" spans="1:8" x14ac:dyDescent="0.45">
      <c r="A175" s="1">
        <v>44497</v>
      </c>
      <c r="B175">
        <v>384.22</v>
      </c>
      <c r="C175">
        <f t="shared" si="10"/>
        <v>1.1105263157894729E-2</v>
      </c>
      <c r="D175">
        <f t="shared" si="11"/>
        <v>1.1951598855294276</v>
      </c>
      <c r="E175">
        <f t="shared" si="12"/>
        <v>1.1951598855294276</v>
      </c>
      <c r="F175">
        <f t="shared" si="13"/>
        <v>0</v>
      </c>
      <c r="G175">
        <f t="shared" si="14"/>
        <v>0.14474498735419869</v>
      </c>
      <c r="H175" s="1"/>
    </row>
    <row r="176" spans="1:8" x14ac:dyDescent="0.45">
      <c r="A176" s="1">
        <v>44498</v>
      </c>
      <c r="B176">
        <v>386.11</v>
      </c>
      <c r="C176">
        <f t="shared" si="10"/>
        <v>4.919056790380516E-3</v>
      </c>
      <c r="D176">
        <f t="shared" si="11"/>
        <v>1.2010389448799317</v>
      </c>
      <c r="E176">
        <f t="shared" si="12"/>
        <v>1.2010389448799317</v>
      </c>
      <c r="F176">
        <f t="shared" si="13"/>
        <v>0</v>
      </c>
      <c r="G176">
        <f t="shared" si="14"/>
        <v>0.1445088975001195</v>
      </c>
      <c r="H176" s="1"/>
    </row>
    <row r="177" spans="1:8" x14ac:dyDescent="0.45">
      <c r="A177" s="1">
        <v>44501</v>
      </c>
      <c r="B177">
        <v>387.43</v>
      </c>
      <c r="C177">
        <f t="shared" si="10"/>
        <v>3.4187148739996953E-3</v>
      </c>
      <c r="D177">
        <f t="shared" si="11"/>
        <v>1.2051449545850457</v>
      </c>
      <c r="E177">
        <f t="shared" si="12"/>
        <v>1.2051449545850457</v>
      </c>
      <c r="F177">
        <f t="shared" si="13"/>
        <v>0</v>
      </c>
      <c r="G177">
        <f t="shared" si="14"/>
        <v>0.11189087629388866</v>
      </c>
      <c r="H177" s="1"/>
    </row>
    <row r="178" spans="1:8" x14ac:dyDescent="0.45">
      <c r="A178" s="1">
        <v>44502</v>
      </c>
      <c r="B178">
        <v>389.05</v>
      </c>
      <c r="C178">
        <f t="shared" si="10"/>
        <v>4.1814005110600849E-3</v>
      </c>
      <c r="D178">
        <f t="shared" si="11"/>
        <v>1.210184148314049</v>
      </c>
      <c r="E178">
        <f t="shared" si="12"/>
        <v>1.210184148314049</v>
      </c>
      <c r="F178">
        <f t="shared" si="13"/>
        <v>0</v>
      </c>
      <c r="G178">
        <f t="shared" si="14"/>
        <v>0.10700021432414883</v>
      </c>
      <c r="H178" s="1"/>
    </row>
    <row r="179" spans="1:8" x14ac:dyDescent="0.45">
      <c r="A179" s="1">
        <v>44503</v>
      </c>
      <c r="B179">
        <v>393.18</v>
      </c>
      <c r="C179">
        <f t="shared" si="10"/>
        <v>1.0615602107698185E-2</v>
      </c>
      <c r="D179">
        <f t="shared" si="11"/>
        <v>1.2230309817095946</v>
      </c>
      <c r="E179">
        <f t="shared" si="12"/>
        <v>1.2230309817095946</v>
      </c>
      <c r="F179">
        <f t="shared" si="13"/>
        <v>0</v>
      </c>
      <c r="G179">
        <f t="shared" si="14"/>
        <v>0.10913336363276933</v>
      </c>
      <c r="H179" s="1"/>
    </row>
    <row r="180" spans="1:8" x14ac:dyDescent="0.45">
      <c r="A180" s="1">
        <v>44504</v>
      </c>
      <c r="B180">
        <v>398.22</v>
      </c>
      <c r="C180">
        <f t="shared" si="10"/>
        <v>1.2818556386388069E-2</v>
      </c>
      <c r="D180">
        <f t="shared" si="11"/>
        <v>1.2387084733109386</v>
      </c>
      <c r="E180">
        <f t="shared" si="12"/>
        <v>1.2387084733109386</v>
      </c>
      <c r="F180">
        <f t="shared" si="13"/>
        <v>0</v>
      </c>
      <c r="G180">
        <f t="shared" si="14"/>
        <v>0.11193977214934742</v>
      </c>
      <c r="H180" s="1"/>
    </row>
    <row r="181" spans="1:8" x14ac:dyDescent="0.45">
      <c r="A181" s="1">
        <v>44505</v>
      </c>
      <c r="B181">
        <v>398.6</v>
      </c>
      <c r="C181">
        <f t="shared" si="10"/>
        <v>9.5424639646424225E-4</v>
      </c>
      <c r="D181">
        <f t="shared" si="11"/>
        <v>1.2398905064078654</v>
      </c>
      <c r="E181">
        <f t="shared" si="12"/>
        <v>1.2398905064078654</v>
      </c>
      <c r="F181">
        <f t="shared" si="13"/>
        <v>0</v>
      </c>
      <c r="G181">
        <f t="shared" si="14"/>
        <v>0.10702179604395691</v>
      </c>
      <c r="H181" s="1"/>
    </row>
    <row r="182" spans="1:8" x14ac:dyDescent="0.45">
      <c r="A182" s="1">
        <v>44508</v>
      </c>
      <c r="B182">
        <v>398.06</v>
      </c>
      <c r="C182">
        <f t="shared" si="10"/>
        <v>-1.3547415955845743E-3</v>
      </c>
      <c r="D182">
        <f t="shared" si="11"/>
        <v>1.2382107751648641</v>
      </c>
      <c r="E182">
        <f t="shared" si="12"/>
        <v>1.2398905064078654</v>
      </c>
      <c r="F182">
        <f t="shared" si="13"/>
        <v>-1.3547415955846853E-3</v>
      </c>
      <c r="G182">
        <f t="shared" si="14"/>
        <v>9.9194560513010205E-2</v>
      </c>
      <c r="H182" s="1"/>
    </row>
    <row r="183" spans="1:8" x14ac:dyDescent="0.45">
      <c r="A183" s="1">
        <v>44509</v>
      </c>
      <c r="B183">
        <v>395.32</v>
      </c>
      <c r="C183">
        <f t="shared" si="10"/>
        <v>-6.8833844144099432E-3</v>
      </c>
      <c r="D183">
        <f t="shared" si="11"/>
        <v>1.2296876944133399</v>
      </c>
      <c r="E183">
        <f t="shared" si="12"/>
        <v>1.2398905064078654</v>
      </c>
      <c r="F183">
        <f t="shared" si="13"/>
        <v>-8.2288008028099657E-3</v>
      </c>
      <c r="G183">
        <f t="shared" si="14"/>
        <v>0.10380119611352935</v>
      </c>
      <c r="H183" s="1"/>
    </row>
    <row r="184" spans="1:8" x14ac:dyDescent="0.45">
      <c r="A184" s="1">
        <v>44510</v>
      </c>
      <c r="B184">
        <v>389.51</v>
      </c>
      <c r="C184">
        <f t="shared" si="10"/>
        <v>-1.4696954366083204E-2</v>
      </c>
      <c r="D184">
        <f t="shared" si="11"/>
        <v>1.211615030484013</v>
      </c>
      <c r="E184">
        <f t="shared" si="12"/>
        <v>1.2398905064078654</v>
      </c>
      <c r="F184">
        <f t="shared" si="13"/>
        <v>-2.2804816859006594E-2</v>
      </c>
      <c r="G184">
        <f t="shared" si="14"/>
        <v>0.12460211940264522</v>
      </c>
      <c r="H184" s="1"/>
    </row>
    <row r="185" spans="1:8" x14ac:dyDescent="0.45">
      <c r="A185" s="1">
        <v>44511</v>
      </c>
      <c r="B185">
        <v>390.59</v>
      </c>
      <c r="C185">
        <f t="shared" si="10"/>
        <v>2.7727144360862876E-3</v>
      </c>
      <c r="D185">
        <f t="shared" si="11"/>
        <v>1.214974492970015</v>
      </c>
      <c r="E185">
        <f t="shared" si="12"/>
        <v>1.2398905064078654</v>
      </c>
      <c r="F185">
        <f t="shared" si="13"/>
        <v>-2.0095333667837667E-2</v>
      </c>
      <c r="G185">
        <f t="shared" si="14"/>
        <v>0.11232500704079891</v>
      </c>
      <c r="H185" s="1"/>
    </row>
    <row r="186" spans="1:8" x14ac:dyDescent="0.45">
      <c r="A186" s="1">
        <v>44512</v>
      </c>
      <c r="B186">
        <v>394.7</v>
      </c>
      <c r="C186">
        <f t="shared" si="10"/>
        <v>1.0522542819836778E-2</v>
      </c>
      <c r="D186">
        <f t="shared" si="11"/>
        <v>1.2277591140973014</v>
      </c>
      <c r="E186">
        <f t="shared" si="12"/>
        <v>1.2398905064078654</v>
      </c>
      <c r="F186">
        <f t="shared" si="13"/>
        <v>-9.7842448569996909E-3</v>
      </c>
      <c r="G186">
        <f t="shared" si="14"/>
        <v>0.11484513183906234</v>
      </c>
      <c r="H186" s="1"/>
    </row>
    <row r="187" spans="1:8" x14ac:dyDescent="0.45">
      <c r="A187" s="1">
        <v>44515</v>
      </c>
      <c r="B187">
        <v>394.61</v>
      </c>
      <c r="C187">
        <f t="shared" si="10"/>
        <v>-2.2802128198629035E-4</v>
      </c>
      <c r="D187">
        <f t="shared" si="11"/>
        <v>1.2274791588901346</v>
      </c>
      <c r="E187">
        <f t="shared" si="12"/>
        <v>1.2398905064078654</v>
      </c>
      <c r="F187">
        <f t="shared" si="13"/>
        <v>-1.0010035122930416E-2</v>
      </c>
      <c r="G187">
        <f t="shared" si="14"/>
        <v>0.11272843395978266</v>
      </c>
      <c r="H187" s="1"/>
    </row>
    <row r="188" spans="1:8" x14ac:dyDescent="0.45">
      <c r="A188" s="1">
        <v>44516</v>
      </c>
      <c r="B188">
        <v>397.42</v>
      </c>
      <c r="C188">
        <f t="shared" si="10"/>
        <v>7.1209548668305089E-3</v>
      </c>
      <c r="D188">
        <f t="shared" si="11"/>
        <v>1.2362199825805664</v>
      </c>
      <c r="E188">
        <f t="shared" si="12"/>
        <v>1.2398905064078654</v>
      </c>
      <c r="F188">
        <f t="shared" si="13"/>
        <v>-2.9603612644256705E-3</v>
      </c>
      <c r="G188">
        <f t="shared" si="14"/>
        <v>0.11249367856210628</v>
      </c>
      <c r="H188" s="1"/>
    </row>
    <row r="189" spans="1:8" x14ac:dyDescent="0.45">
      <c r="A189" s="1">
        <v>44517</v>
      </c>
      <c r="B189">
        <v>397.63</v>
      </c>
      <c r="C189">
        <f t="shared" si="10"/>
        <v>5.2840823310340568E-4</v>
      </c>
      <c r="D189">
        <f t="shared" si="11"/>
        <v>1.2368732113972889</v>
      </c>
      <c r="E189">
        <f t="shared" si="12"/>
        <v>1.2398905064078654</v>
      </c>
      <c r="F189">
        <f t="shared" si="13"/>
        <v>-2.4335173105873853E-3</v>
      </c>
      <c r="G189">
        <f t="shared" si="14"/>
        <v>0.11177744672356794</v>
      </c>
      <c r="H189" s="1"/>
    </row>
    <row r="190" spans="1:8" x14ac:dyDescent="0.45">
      <c r="A190" s="1">
        <v>44518</v>
      </c>
      <c r="B190">
        <v>401.75</v>
      </c>
      <c r="C190">
        <f t="shared" si="10"/>
        <v>1.0361391243115525E-2</v>
      </c>
      <c r="D190">
        <f t="shared" si="11"/>
        <v>1.2496889386587049</v>
      </c>
      <c r="E190">
        <f t="shared" si="12"/>
        <v>1.2496889386587049</v>
      </c>
      <c r="F190">
        <f t="shared" si="13"/>
        <v>0</v>
      </c>
      <c r="G190">
        <f t="shared" si="14"/>
        <v>0.11435632011503175</v>
      </c>
      <c r="H190" s="1"/>
    </row>
    <row r="191" spans="1:8" x14ac:dyDescent="0.45">
      <c r="A191" s="1">
        <v>44519</v>
      </c>
      <c r="B191">
        <v>403.99</v>
      </c>
      <c r="C191">
        <f t="shared" si="10"/>
        <v>5.5756067205974258E-3</v>
      </c>
      <c r="D191">
        <f t="shared" si="11"/>
        <v>1.2566567127037467</v>
      </c>
      <c r="E191">
        <f t="shared" si="12"/>
        <v>1.2566567127037467</v>
      </c>
      <c r="F191">
        <f t="shared" si="13"/>
        <v>0</v>
      </c>
      <c r="G191">
        <f t="shared" si="14"/>
        <v>0.10605275550879271</v>
      </c>
      <c r="H191" s="1"/>
    </row>
    <row r="192" spans="1:8" x14ac:dyDescent="0.45">
      <c r="A192" s="1">
        <v>44522</v>
      </c>
      <c r="B192">
        <v>399.3</v>
      </c>
      <c r="C192">
        <f t="shared" si="10"/>
        <v>-1.1609198247481411E-2</v>
      </c>
      <c r="D192">
        <f t="shared" si="11"/>
        <v>1.2420679357969406</v>
      </c>
      <c r="E192">
        <f t="shared" si="12"/>
        <v>1.2566567127037467</v>
      </c>
      <c r="F192">
        <f t="shared" si="13"/>
        <v>-1.1609198247481411E-2</v>
      </c>
      <c r="G192">
        <f t="shared" si="14"/>
        <v>0.11649850592976747</v>
      </c>
      <c r="H192" s="1"/>
    </row>
    <row r="193" spans="1:8" x14ac:dyDescent="0.45">
      <c r="A193" s="1">
        <v>44523</v>
      </c>
      <c r="B193">
        <v>397.48</v>
      </c>
      <c r="C193">
        <f t="shared" si="10"/>
        <v>-4.5579764588028482E-3</v>
      </c>
      <c r="D193">
        <f t="shared" si="11"/>
        <v>1.2364066193853442</v>
      </c>
      <c r="E193">
        <f t="shared" si="12"/>
        <v>1.2566567127037467</v>
      </c>
      <c r="F193">
        <f t="shared" si="13"/>
        <v>-1.6114260253966672E-2</v>
      </c>
      <c r="G193">
        <f t="shared" si="14"/>
        <v>0.11935156833752225</v>
      </c>
      <c r="H193" s="1"/>
    </row>
    <row r="194" spans="1:8" x14ac:dyDescent="0.45">
      <c r="A194" s="1">
        <v>44524</v>
      </c>
      <c r="B194">
        <v>398.76</v>
      </c>
      <c r="C194">
        <f t="shared" si="10"/>
        <v>3.2202878132232549E-3</v>
      </c>
      <c r="D194">
        <f t="shared" si="11"/>
        <v>1.2403882045539394</v>
      </c>
      <c r="E194">
        <f t="shared" si="12"/>
        <v>1.2566567127037467</v>
      </c>
      <c r="F194">
        <f t="shared" si="13"/>
        <v>-1.2945864996658396E-2</v>
      </c>
      <c r="G194">
        <f t="shared" si="14"/>
        <v>0.11938693168724394</v>
      </c>
      <c r="H194" s="1"/>
    </row>
    <row r="195" spans="1:8" x14ac:dyDescent="0.45">
      <c r="A195" s="1">
        <v>44526</v>
      </c>
      <c r="B195">
        <v>391.2</v>
      </c>
      <c r="C195">
        <f t="shared" si="10"/>
        <v>-1.8958772193800821E-2</v>
      </c>
      <c r="D195">
        <f t="shared" si="11"/>
        <v>1.2168719671519237</v>
      </c>
      <c r="E195">
        <f t="shared" si="12"/>
        <v>1.2566567127037467</v>
      </c>
      <c r="F195">
        <f t="shared" si="13"/>
        <v>-3.1659199485135847E-2</v>
      </c>
      <c r="G195">
        <f t="shared" si="14"/>
        <v>0.13685992249867499</v>
      </c>
      <c r="H195" s="1"/>
    </row>
    <row r="196" spans="1:8" x14ac:dyDescent="0.45">
      <c r="A196" s="1">
        <v>44529</v>
      </c>
      <c r="B196">
        <v>399.69</v>
      </c>
      <c r="C196">
        <f t="shared" ref="C196:C259" si="15">IFERROR((B196/B195)-1,"")</f>
        <v>2.1702453987730186E-2</v>
      </c>
      <c r="D196">
        <f t="shared" ref="D196:D259" si="16">D195*(1+C196)</f>
        <v>1.243281075027997</v>
      </c>
      <c r="E196">
        <f t="shared" ref="E196:E259" si="17">MAX(E195,D196)</f>
        <v>1.2566567127037467</v>
      </c>
      <c r="F196">
        <f t="shared" ref="F196:F259" si="18">D196/E196-1</f>
        <v>-1.0643827817520268E-2</v>
      </c>
      <c r="G196">
        <f t="shared" si="14"/>
        <v>0.15509058918124913</v>
      </c>
      <c r="H196" s="1"/>
    </row>
    <row r="197" spans="1:8" x14ac:dyDescent="0.45">
      <c r="A197" s="1">
        <v>44530</v>
      </c>
      <c r="B197">
        <v>393.82</v>
      </c>
      <c r="C197">
        <f t="shared" si="15"/>
        <v>-1.4686381946008131E-2</v>
      </c>
      <c r="D197">
        <f t="shared" si="16"/>
        <v>1.2250217742938923</v>
      </c>
      <c r="E197">
        <f t="shared" si="17"/>
        <v>1.2566567127037467</v>
      </c>
      <c r="F197">
        <f t="shared" si="18"/>
        <v>-2.5173890442832692E-2</v>
      </c>
      <c r="G197">
        <f t="shared" si="14"/>
        <v>0.16551127139558952</v>
      </c>
      <c r="H197" s="1"/>
    </row>
    <row r="198" spans="1:8" x14ac:dyDescent="0.45">
      <c r="A198" s="1">
        <v>44531</v>
      </c>
      <c r="B198">
        <v>387.12</v>
      </c>
      <c r="C198">
        <f t="shared" si="15"/>
        <v>-1.7012848509471268E-2</v>
      </c>
      <c r="D198">
        <f t="shared" si="16"/>
        <v>1.2041806644270265</v>
      </c>
      <c r="E198">
        <f t="shared" si="17"/>
        <v>1.2566567127037467</v>
      </c>
      <c r="F198">
        <f t="shared" si="18"/>
        <v>-4.1758459367806089E-2</v>
      </c>
      <c r="G198">
        <f t="shared" si="14"/>
        <v>0.17661293937643871</v>
      </c>
      <c r="H198" s="1"/>
    </row>
    <row r="199" spans="1:8" x14ac:dyDescent="0.45">
      <c r="A199" s="1">
        <v>44532</v>
      </c>
      <c r="B199">
        <v>389.91</v>
      </c>
      <c r="C199">
        <f t="shared" si="15"/>
        <v>7.2070675759454694E-3</v>
      </c>
      <c r="D199">
        <f t="shared" si="16"/>
        <v>1.2128592758491989</v>
      </c>
      <c r="E199">
        <f t="shared" si="17"/>
        <v>1.2566567127037467</v>
      </c>
      <c r="F199">
        <f t="shared" si="18"/>
        <v>-3.4852347830391817E-2</v>
      </c>
      <c r="G199">
        <f t="shared" si="14"/>
        <v>0.17424563394274598</v>
      </c>
      <c r="H199" s="1"/>
    </row>
    <row r="200" spans="1:8" x14ac:dyDescent="0.45">
      <c r="A200" s="1">
        <v>44533</v>
      </c>
      <c r="B200">
        <v>383.13</v>
      </c>
      <c r="C200">
        <f t="shared" si="15"/>
        <v>-1.7388628144956564E-2</v>
      </c>
      <c r="D200">
        <f t="shared" si="16"/>
        <v>1.191769316909296</v>
      </c>
      <c r="E200">
        <f t="shared" si="17"/>
        <v>1.2566567127037467</v>
      </c>
      <c r="F200">
        <f t="shared" si="18"/>
        <v>-5.1634941458946981E-2</v>
      </c>
      <c r="G200">
        <f t="shared" si="14"/>
        <v>0.17691457654562917</v>
      </c>
      <c r="H200" s="1"/>
    </row>
    <row r="201" spans="1:8" x14ac:dyDescent="0.45">
      <c r="A201" s="1">
        <v>44536</v>
      </c>
      <c r="B201">
        <v>386.2</v>
      </c>
      <c r="C201">
        <f t="shared" si="15"/>
        <v>8.0129459974420669E-3</v>
      </c>
      <c r="D201">
        <f t="shared" si="16"/>
        <v>1.2013189000870985</v>
      </c>
      <c r="E201">
        <f t="shared" si="17"/>
        <v>1.2566567127037467</v>
      </c>
      <c r="F201">
        <f t="shared" si="18"/>
        <v>-4.4035743458996635E-2</v>
      </c>
      <c r="G201">
        <f t="shared" si="14"/>
        <v>0.18015406222311106</v>
      </c>
      <c r="H201" s="1"/>
    </row>
    <row r="202" spans="1:8" x14ac:dyDescent="0.45">
      <c r="A202" s="1">
        <v>44537</v>
      </c>
      <c r="B202">
        <v>397.83</v>
      </c>
      <c r="C202">
        <f t="shared" si="15"/>
        <v>3.0113930605903727E-2</v>
      </c>
      <c r="D202">
        <f t="shared" si="16"/>
        <v>1.237495334079882</v>
      </c>
      <c r="E202">
        <f t="shared" si="17"/>
        <v>1.2566567127037467</v>
      </c>
      <c r="F202">
        <f t="shared" si="18"/>
        <v>-1.5247902175796413E-2</v>
      </c>
      <c r="G202">
        <f t="shared" si="14"/>
        <v>0.21229448527335906</v>
      </c>
      <c r="H202" s="1"/>
    </row>
    <row r="203" spans="1:8" x14ac:dyDescent="0.45">
      <c r="A203" s="1">
        <v>44538</v>
      </c>
      <c r="B203">
        <v>399.61</v>
      </c>
      <c r="C203">
        <f t="shared" si="15"/>
        <v>4.4742729306488371E-3</v>
      </c>
      <c r="D203">
        <f t="shared" si="16"/>
        <v>1.2430322259549598</v>
      </c>
      <c r="E203">
        <f t="shared" si="17"/>
        <v>1.2566567127037467</v>
      </c>
      <c r="F203">
        <f t="shared" si="18"/>
        <v>-1.0841852521102036E-2</v>
      </c>
      <c r="G203">
        <f t="shared" si="14"/>
        <v>0.21119584623756776</v>
      </c>
      <c r="H203" s="1"/>
    </row>
    <row r="204" spans="1:8" x14ac:dyDescent="0.45">
      <c r="A204" s="1">
        <v>44539</v>
      </c>
      <c r="B204">
        <v>393.73</v>
      </c>
      <c r="C204">
        <f t="shared" si="15"/>
        <v>-1.4714346487825658E-2</v>
      </c>
      <c r="D204">
        <f t="shared" si="16"/>
        <v>1.2247418190867252</v>
      </c>
      <c r="E204">
        <f t="shared" si="17"/>
        <v>1.2566567127037467</v>
      </c>
      <c r="F204">
        <f t="shared" si="18"/>
        <v>-2.5396668234362374E-2</v>
      </c>
      <c r="G204">
        <f t="shared" si="14"/>
        <v>0.21121258826563369</v>
      </c>
      <c r="H204" s="1"/>
    </row>
    <row r="205" spans="1:8" x14ac:dyDescent="0.45">
      <c r="A205" s="1">
        <v>44540</v>
      </c>
      <c r="B205">
        <v>398.01</v>
      </c>
      <c r="C205">
        <f t="shared" si="15"/>
        <v>1.0870393416808399E-2</v>
      </c>
      <c r="D205">
        <f t="shared" si="16"/>
        <v>1.2380552444942154</v>
      </c>
      <c r="E205">
        <f t="shared" si="17"/>
        <v>1.2566567127037467</v>
      </c>
      <c r="F205">
        <f t="shared" si="18"/>
        <v>-1.4802346592737714E-2</v>
      </c>
      <c r="G205">
        <f t="shared" si="14"/>
        <v>0.21423998329803387</v>
      </c>
      <c r="H205" s="1"/>
    </row>
    <row r="206" spans="1:8" x14ac:dyDescent="0.45">
      <c r="A206" s="1">
        <v>44543</v>
      </c>
      <c r="B206">
        <v>392.26</v>
      </c>
      <c r="C206">
        <f t="shared" si="15"/>
        <v>-1.4446873194140841E-2</v>
      </c>
      <c r="D206">
        <f t="shared" si="16"/>
        <v>1.2201692173696665</v>
      </c>
      <c r="E206">
        <f t="shared" si="17"/>
        <v>1.2566567127037467</v>
      </c>
      <c r="F206">
        <f t="shared" si="18"/>
        <v>-2.9035372162677486E-2</v>
      </c>
      <c r="G206">
        <f t="shared" si="14"/>
        <v>0.21786610583157678</v>
      </c>
      <c r="H206" s="1"/>
    </row>
    <row r="207" spans="1:8" x14ac:dyDescent="0.45">
      <c r="A207" s="1">
        <v>44544</v>
      </c>
      <c r="B207">
        <v>388.2</v>
      </c>
      <c r="C207">
        <f t="shared" si="15"/>
        <v>-1.0350277876918335E-2</v>
      </c>
      <c r="D207">
        <f t="shared" si="16"/>
        <v>1.2075401269130286</v>
      </c>
      <c r="E207">
        <f t="shared" si="17"/>
        <v>1.2566567127037467</v>
      </c>
      <c r="F207">
        <f t="shared" si="18"/>
        <v>-3.9085125869452342E-2</v>
      </c>
      <c r="G207">
        <f t="shared" si="14"/>
        <v>0.22081346193732676</v>
      </c>
      <c r="H207" s="1"/>
    </row>
    <row r="208" spans="1:8" x14ac:dyDescent="0.45">
      <c r="A208" s="1">
        <v>44545</v>
      </c>
      <c r="B208">
        <v>397.05</v>
      </c>
      <c r="C208">
        <f t="shared" si="15"/>
        <v>2.2797527047913491E-2</v>
      </c>
      <c r="D208">
        <f t="shared" si="16"/>
        <v>1.2350690556177693</v>
      </c>
      <c r="E208">
        <f t="shared" si="17"/>
        <v>1.2566567127037467</v>
      </c>
      <c r="F208">
        <f t="shared" si="18"/>
        <v>-1.7178643035718699E-2</v>
      </c>
      <c r="G208">
        <f t="shared" si="14"/>
        <v>0.23477340930437721</v>
      </c>
      <c r="H208" s="1"/>
    </row>
    <row r="209" spans="1:8" x14ac:dyDescent="0.45">
      <c r="A209" s="1">
        <v>44546</v>
      </c>
      <c r="B209">
        <v>386.84</v>
      </c>
      <c r="C209">
        <f t="shared" si="15"/>
        <v>-2.5714645510641065E-2</v>
      </c>
      <c r="D209">
        <f t="shared" si="16"/>
        <v>1.203309692671396</v>
      </c>
      <c r="E209">
        <f t="shared" si="17"/>
        <v>1.2566567127037467</v>
      </c>
      <c r="F209">
        <f t="shared" si="18"/>
        <v>-4.2451545830342496E-2</v>
      </c>
      <c r="G209">
        <f t="shared" si="14"/>
        <v>0.25192846072967312</v>
      </c>
      <c r="H209" s="1"/>
    </row>
    <row r="210" spans="1:8" x14ac:dyDescent="0.45">
      <c r="A210" s="1">
        <v>44547</v>
      </c>
      <c r="B210">
        <v>384.91</v>
      </c>
      <c r="C210">
        <f t="shared" si="15"/>
        <v>-4.9891427980559566E-3</v>
      </c>
      <c r="D210">
        <f t="shared" si="16"/>
        <v>1.1973062087843735</v>
      </c>
      <c r="E210">
        <f t="shared" si="17"/>
        <v>1.2566567127037467</v>
      </c>
      <c r="F210">
        <f t="shared" si="18"/>
        <v>-4.7228891804252715E-2</v>
      </c>
      <c r="G210">
        <f t="shared" si="14"/>
        <v>0.24840853850078279</v>
      </c>
      <c r="H210" s="1"/>
    </row>
    <row r="211" spans="1:8" x14ac:dyDescent="0.45">
      <c r="A211" s="1">
        <v>44550</v>
      </c>
      <c r="B211">
        <v>380.69</v>
      </c>
      <c r="C211">
        <f t="shared" si="15"/>
        <v>-1.0963601880959239E-2</v>
      </c>
      <c r="D211">
        <f t="shared" si="16"/>
        <v>1.1841794201816611</v>
      </c>
      <c r="E211">
        <f t="shared" si="17"/>
        <v>1.2566567127037467</v>
      </c>
      <c r="F211">
        <f t="shared" si="18"/>
        <v>-5.7674694918191105E-2</v>
      </c>
      <c r="G211">
        <f t="shared" si="14"/>
        <v>0.24863607835168869</v>
      </c>
      <c r="H211" s="1"/>
    </row>
    <row r="212" spans="1:8" x14ac:dyDescent="0.45">
      <c r="A212" s="1">
        <v>44551</v>
      </c>
      <c r="B212">
        <v>389.21</v>
      </c>
      <c r="C212">
        <f t="shared" si="15"/>
        <v>2.2380414510493996E-2</v>
      </c>
      <c r="D212">
        <f t="shared" si="16"/>
        <v>1.2106818464601232</v>
      </c>
      <c r="E212">
        <f t="shared" si="17"/>
        <v>1.2566567127037467</v>
      </c>
      <c r="F212">
        <f t="shared" si="18"/>
        <v>-3.6585063986732447E-2</v>
      </c>
      <c r="G212">
        <f t="shared" si="14"/>
        <v>0.26168465912566541</v>
      </c>
      <c r="H212" s="1"/>
    </row>
    <row r="213" spans="1:8" x14ac:dyDescent="0.45">
      <c r="A213" s="1">
        <v>44552</v>
      </c>
      <c r="B213">
        <v>393.95</v>
      </c>
      <c r="C213">
        <f t="shared" si="15"/>
        <v>1.2178515454381866E-2</v>
      </c>
      <c r="D213">
        <f t="shared" si="16"/>
        <v>1.2254261540375775</v>
      </c>
      <c r="E213">
        <f t="shared" si="17"/>
        <v>1.2566567127037467</v>
      </c>
      <c r="F213">
        <f t="shared" si="18"/>
        <v>-2.4852100299512569E-2</v>
      </c>
      <c r="G213">
        <f t="shared" si="14"/>
        <v>0.26550959588641093</v>
      </c>
      <c r="H213" s="1"/>
    </row>
    <row r="214" spans="1:8" x14ac:dyDescent="0.45">
      <c r="A214" s="1">
        <v>44553</v>
      </c>
      <c r="B214">
        <v>396.92</v>
      </c>
      <c r="C214">
        <f t="shared" si="15"/>
        <v>7.5390277954054952E-3</v>
      </c>
      <c r="D214">
        <f t="shared" si="16"/>
        <v>1.2346646758740836</v>
      </c>
      <c r="E214">
        <f t="shared" si="17"/>
        <v>1.2566567127037467</v>
      </c>
      <c r="F214">
        <f t="shared" si="18"/>
        <v>-1.7500433179039265E-2</v>
      </c>
      <c r="G214">
        <f t="shared" ref="G214:G277" si="19">_xlfn.STDEV.S(C195:C214)*SQRT(252)</f>
        <v>0.26671177913280836</v>
      </c>
      <c r="H214" s="1"/>
    </row>
    <row r="215" spans="1:8" x14ac:dyDescent="0.45">
      <c r="A215" s="1">
        <v>44557</v>
      </c>
      <c r="B215">
        <v>403.48</v>
      </c>
      <c r="C215">
        <f t="shared" si="15"/>
        <v>1.6527259901239599E-2</v>
      </c>
      <c r="D215">
        <f t="shared" si="16"/>
        <v>1.2550702998631342</v>
      </c>
      <c r="E215">
        <f t="shared" si="17"/>
        <v>1.2566567127037467</v>
      </c>
      <c r="F215">
        <f t="shared" si="18"/>
        <v>-1.2624074853340161E-3</v>
      </c>
      <c r="G215">
        <f t="shared" si="19"/>
        <v>0.26314902164378112</v>
      </c>
      <c r="H215" s="1"/>
    </row>
    <row r="216" spans="1:8" x14ac:dyDescent="0.45">
      <c r="A216" s="1">
        <v>44558</v>
      </c>
      <c r="B216">
        <v>401.61</v>
      </c>
      <c r="C216">
        <f t="shared" si="15"/>
        <v>-4.6346782988004875E-3</v>
      </c>
      <c r="D216">
        <f t="shared" si="16"/>
        <v>1.2492534527808896</v>
      </c>
      <c r="E216">
        <f t="shared" si="17"/>
        <v>1.2566567127037467</v>
      </c>
      <c r="F216">
        <f t="shared" si="18"/>
        <v>-5.8912349315579648E-3</v>
      </c>
      <c r="G216">
        <f t="shared" si="19"/>
        <v>0.25297608890120149</v>
      </c>
      <c r="H216" s="1"/>
    </row>
    <row r="217" spans="1:8" x14ac:dyDescent="0.45">
      <c r="A217" s="1">
        <v>44559</v>
      </c>
      <c r="B217">
        <v>401.55</v>
      </c>
      <c r="C217">
        <f t="shared" si="15"/>
        <v>-1.4939867035179688E-4</v>
      </c>
      <c r="D217">
        <f t="shared" si="16"/>
        <v>1.2490668159761118</v>
      </c>
      <c r="E217">
        <f t="shared" si="17"/>
        <v>1.2566567127037467</v>
      </c>
      <c r="F217">
        <f t="shared" si="18"/>
        <v>-6.0397534592442348E-3</v>
      </c>
      <c r="G217">
        <f t="shared" si="19"/>
        <v>0.24669314789557206</v>
      </c>
      <c r="H217" s="1"/>
    </row>
    <row r="218" spans="1:8" x14ac:dyDescent="0.45">
      <c r="A218" s="1">
        <v>44560</v>
      </c>
      <c r="B218">
        <v>400.35</v>
      </c>
      <c r="C218">
        <f t="shared" si="15"/>
        <v>-2.988419872992143E-3</v>
      </c>
      <c r="D218">
        <f t="shared" si="16"/>
        <v>1.2453340798805537</v>
      </c>
      <c r="E218">
        <f t="shared" si="17"/>
        <v>1.2566567127037467</v>
      </c>
      <c r="F218">
        <f t="shared" si="18"/>
        <v>-9.0101240129708549E-3</v>
      </c>
      <c r="G218">
        <f t="shared" si="19"/>
        <v>0.23791248741937193</v>
      </c>
      <c r="H218" s="1"/>
    </row>
    <row r="219" spans="1:8" x14ac:dyDescent="0.45">
      <c r="A219" s="1">
        <v>44561</v>
      </c>
      <c r="B219">
        <v>397.85</v>
      </c>
      <c r="C219">
        <f t="shared" si="15"/>
        <v>-6.2445360309728581E-3</v>
      </c>
      <c r="D219">
        <f t="shared" si="16"/>
        <v>1.2375575463481412</v>
      </c>
      <c r="E219">
        <f t="shared" si="17"/>
        <v>1.2566567127037467</v>
      </c>
      <c r="F219">
        <f t="shared" si="18"/>
        <v>-1.5198395999901138E-2</v>
      </c>
      <c r="G219">
        <f t="shared" si="19"/>
        <v>0.23863916472378871</v>
      </c>
      <c r="H219" s="1"/>
    </row>
    <row r="220" spans="1:8" x14ac:dyDescent="0.45">
      <c r="A220" s="1">
        <v>44564</v>
      </c>
      <c r="B220">
        <v>401.68</v>
      </c>
      <c r="C220">
        <f t="shared" si="15"/>
        <v>9.6267437476436069E-3</v>
      </c>
      <c r="D220">
        <f t="shared" si="16"/>
        <v>1.2494711957197973</v>
      </c>
      <c r="E220">
        <f t="shared" si="17"/>
        <v>1.2566567127037467</v>
      </c>
      <c r="F220">
        <f t="shared" si="18"/>
        <v>-5.7179633159237797E-3</v>
      </c>
      <c r="G220">
        <f t="shared" si="19"/>
        <v>0.22996548809278755</v>
      </c>
      <c r="H220" s="1"/>
    </row>
    <row r="221" spans="1:8" x14ac:dyDescent="0.45">
      <c r="A221" s="1">
        <v>44565</v>
      </c>
      <c r="B221">
        <v>396.47</v>
      </c>
      <c r="C221">
        <f t="shared" si="15"/>
        <v>-1.2970523800039824E-2</v>
      </c>
      <c r="D221">
        <f t="shared" si="16"/>
        <v>1.2332648998382494</v>
      </c>
      <c r="E221">
        <f t="shared" si="17"/>
        <v>1.2566567127037467</v>
      </c>
      <c r="F221">
        <f t="shared" si="18"/>
        <v>-1.8614322136686678E-2</v>
      </c>
      <c r="G221">
        <f t="shared" si="19"/>
        <v>0.2352543623397336</v>
      </c>
      <c r="H221" s="1"/>
    </row>
    <row r="222" spans="1:8" x14ac:dyDescent="0.45">
      <c r="A222" s="1">
        <v>44566</v>
      </c>
      <c r="B222">
        <v>384.29</v>
      </c>
      <c r="C222">
        <f t="shared" si="15"/>
        <v>-3.0721113829545788E-2</v>
      </c>
      <c r="D222">
        <f t="shared" si="16"/>
        <v>1.1953776284683351</v>
      </c>
      <c r="E222">
        <f t="shared" si="17"/>
        <v>1.2566567127037467</v>
      </c>
      <c r="F222">
        <f t="shared" si="18"/>
        <v>-4.8763583257011578E-2</v>
      </c>
      <c r="G222">
        <f t="shared" si="19"/>
        <v>0.2359386238428747</v>
      </c>
      <c r="H222" s="1"/>
    </row>
    <row r="223" spans="1:8" x14ac:dyDescent="0.45">
      <c r="A223" s="1">
        <v>44567</v>
      </c>
      <c r="B223">
        <v>384.02</v>
      </c>
      <c r="C223">
        <f t="shared" si="15"/>
        <v>-7.0259439485820252E-4</v>
      </c>
      <c r="D223">
        <f t="shared" si="16"/>
        <v>1.1945377628468343</v>
      </c>
      <c r="E223">
        <f t="shared" si="17"/>
        <v>1.2566567127037467</v>
      </c>
      <c r="F223">
        <f t="shared" si="18"/>
        <v>-4.9431916631600181E-2</v>
      </c>
      <c r="G223">
        <f t="shared" si="19"/>
        <v>0.23487696176427209</v>
      </c>
      <c r="H223" s="1"/>
    </row>
    <row r="224" spans="1:8" x14ac:dyDescent="0.45">
      <c r="A224" s="1">
        <v>44568</v>
      </c>
      <c r="B224">
        <v>379.86</v>
      </c>
      <c r="C224">
        <f t="shared" si="15"/>
        <v>-1.0832769126607911E-2</v>
      </c>
      <c r="D224">
        <f t="shared" si="16"/>
        <v>1.1815976110488999</v>
      </c>
      <c r="E224">
        <f t="shared" si="17"/>
        <v>1.2566567127037467</v>
      </c>
      <c r="F224">
        <f t="shared" si="18"/>
        <v>-5.972920121785219E-2</v>
      </c>
      <c r="G224">
        <f t="shared" si="19"/>
        <v>0.23245626183279344</v>
      </c>
      <c r="H224" s="1"/>
    </row>
    <row r="225" spans="1:8" x14ac:dyDescent="0.45">
      <c r="A225" s="1">
        <v>44571</v>
      </c>
      <c r="B225">
        <v>380.11</v>
      </c>
      <c r="C225">
        <f t="shared" si="15"/>
        <v>6.5813720844531964E-4</v>
      </c>
      <c r="D225">
        <f t="shared" si="16"/>
        <v>1.1823752644021412</v>
      </c>
      <c r="E225">
        <f t="shared" si="17"/>
        <v>1.2566567127037467</v>
      </c>
      <c r="F225">
        <f t="shared" si="18"/>
        <v>-5.9110374019159084E-2</v>
      </c>
      <c r="G225">
        <f t="shared" si="19"/>
        <v>0.22792014761312626</v>
      </c>
      <c r="H225" s="1"/>
    </row>
    <row r="226" spans="1:8" x14ac:dyDescent="0.45">
      <c r="A226" s="1">
        <v>44572</v>
      </c>
      <c r="B226">
        <v>385.82</v>
      </c>
      <c r="C226">
        <f t="shared" si="15"/>
        <v>1.5021967325247854E-2</v>
      </c>
      <c r="D226">
        <f t="shared" si="16"/>
        <v>1.2001368669901715</v>
      </c>
      <c r="E226">
        <f t="shared" si="17"/>
        <v>1.2566567127037467</v>
      </c>
      <c r="F226">
        <f t="shared" si="18"/>
        <v>-4.4976360801010196E-2</v>
      </c>
      <c r="G226">
        <f t="shared" si="19"/>
        <v>0.23090312064953961</v>
      </c>
      <c r="H226" s="1"/>
    </row>
    <row r="227" spans="1:8" x14ac:dyDescent="0.45">
      <c r="A227" s="1">
        <v>44573</v>
      </c>
      <c r="B227">
        <v>387.35</v>
      </c>
      <c r="C227">
        <f t="shared" si="15"/>
        <v>3.9655798040538759E-3</v>
      </c>
      <c r="D227">
        <f t="shared" si="16"/>
        <v>1.2048961055120082</v>
      </c>
      <c r="E227">
        <f t="shared" si="17"/>
        <v>1.2566567127037467</v>
      </c>
      <c r="F227">
        <f t="shared" si="18"/>
        <v>-4.1189138345008702E-2</v>
      </c>
      <c r="G227">
        <f t="shared" si="19"/>
        <v>0.22856942579009817</v>
      </c>
      <c r="H227" s="1"/>
    </row>
    <row r="228" spans="1:8" x14ac:dyDescent="0.45">
      <c r="A228" s="1">
        <v>44574</v>
      </c>
      <c r="B228">
        <v>377.66</v>
      </c>
      <c r="C228">
        <f t="shared" si="15"/>
        <v>-2.5016135278172147E-2</v>
      </c>
      <c r="D228">
        <f t="shared" si="16"/>
        <v>1.174754261540377</v>
      </c>
      <c r="E228">
        <f t="shared" si="17"/>
        <v>1.2566567127037467</v>
      </c>
      <c r="F228">
        <f t="shared" si="18"/>
        <v>-6.517488056635079E-2</v>
      </c>
      <c r="G228">
        <f t="shared" si="19"/>
        <v>0.22830055971605828</v>
      </c>
      <c r="H228" s="1"/>
    </row>
    <row r="229" spans="1:8" x14ac:dyDescent="0.45">
      <c r="A229" s="1">
        <v>44575</v>
      </c>
      <c r="B229">
        <v>380.01</v>
      </c>
      <c r="C229">
        <f t="shared" si="15"/>
        <v>6.2225281999681581E-3</v>
      </c>
      <c r="D229">
        <f t="shared" si="16"/>
        <v>1.1820642030608448</v>
      </c>
      <c r="E229">
        <f t="shared" si="17"/>
        <v>1.2566567127037467</v>
      </c>
      <c r="F229">
        <f t="shared" si="18"/>
        <v>-5.9357904898636238E-2</v>
      </c>
      <c r="G229">
        <f t="shared" si="19"/>
        <v>0.21265606394870734</v>
      </c>
      <c r="H229" s="1"/>
    </row>
    <row r="230" spans="1:8" x14ac:dyDescent="0.45">
      <c r="A230" s="1">
        <v>44579</v>
      </c>
      <c r="B230">
        <v>370.55</v>
      </c>
      <c r="C230">
        <f t="shared" si="15"/>
        <v>-2.4894081734691098E-2</v>
      </c>
      <c r="D230">
        <f t="shared" si="16"/>
        <v>1.1526378001741957</v>
      </c>
      <c r="E230">
        <f t="shared" si="17"/>
        <v>1.2566567127037467</v>
      </c>
      <c r="F230">
        <f t="shared" si="18"/>
        <v>-8.2774326097180606E-2</v>
      </c>
      <c r="G230">
        <f t="shared" si="19"/>
        <v>0.22896341046195612</v>
      </c>
      <c r="H230" s="1"/>
    </row>
    <row r="231" spans="1:8" x14ac:dyDescent="0.45">
      <c r="A231" s="1">
        <v>44580</v>
      </c>
      <c r="B231">
        <v>366.48</v>
      </c>
      <c r="C231">
        <f t="shared" si="15"/>
        <v>-1.0983672918634446E-2</v>
      </c>
      <c r="D231">
        <f t="shared" si="16"/>
        <v>1.1399776035834279</v>
      </c>
      <c r="E231">
        <f t="shared" si="17"/>
        <v>1.2566567127037467</v>
      </c>
      <c r="F231">
        <f t="shared" si="18"/>
        <v>-9.2848832891903377E-2</v>
      </c>
      <c r="G231">
        <f t="shared" si="19"/>
        <v>0.22897407553599911</v>
      </c>
      <c r="H231" s="1"/>
    </row>
    <row r="232" spans="1:8" x14ac:dyDescent="0.45">
      <c r="A232" s="1">
        <v>44581</v>
      </c>
      <c r="B232">
        <v>361.72</v>
      </c>
      <c r="C232">
        <f t="shared" si="15"/>
        <v>-1.2988430473695689E-2</v>
      </c>
      <c r="D232">
        <f t="shared" si="16"/>
        <v>1.1251710837377142</v>
      </c>
      <c r="E232">
        <f t="shared" si="17"/>
        <v>1.2566567127037467</v>
      </c>
      <c r="F232">
        <f t="shared" si="18"/>
        <v>-0.10463130275501886</v>
      </c>
      <c r="G232">
        <f t="shared" si="19"/>
        <v>0.21331699562543036</v>
      </c>
      <c r="H232" s="1"/>
    </row>
    <row r="233" spans="1:8" x14ac:dyDescent="0.45">
      <c r="A233" s="1">
        <v>44582</v>
      </c>
      <c r="B233">
        <v>351.69</v>
      </c>
      <c r="C233">
        <f t="shared" si="15"/>
        <v>-2.7728629879464894E-2</v>
      </c>
      <c r="D233">
        <f t="shared" si="16"/>
        <v>1.0939716312056749</v>
      </c>
      <c r="E233">
        <f t="shared" si="17"/>
        <v>1.2566567127037467</v>
      </c>
      <c r="F233">
        <f t="shared" si="18"/>
        <v>-0.12945864996658352</v>
      </c>
      <c r="G233">
        <f t="shared" si="19"/>
        <v>0.22113377750910104</v>
      </c>
      <c r="H233" s="1"/>
    </row>
    <row r="234" spans="1:8" x14ac:dyDescent="0.45">
      <c r="A234" s="1">
        <v>44585</v>
      </c>
      <c r="B234">
        <v>353.3</v>
      </c>
      <c r="C234">
        <f t="shared" si="15"/>
        <v>4.5778953055248817E-3</v>
      </c>
      <c r="D234">
        <f t="shared" si="16"/>
        <v>1.0989797188005488</v>
      </c>
      <c r="E234">
        <f t="shared" si="17"/>
        <v>1.2566567127037467</v>
      </c>
      <c r="F234">
        <f t="shared" si="18"/>
        <v>-0.12547340280700015</v>
      </c>
      <c r="G234">
        <f t="shared" si="19"/>
        <v>0.21904647557121404</v>
      </c>
      <c r="H234" s="1"/>
    </row>
    <row r="235" spans="1:8" x14ac:dyDescent="0.45">
      <c r="A235" s="1">
        <v>44586</v>
      </c>
      <c r="B235">
        <v>345.11</v>
      </c>
      <c r="C235">
        <f t="shared" si="15"/>
        <v>-2.3181432210585884E-2</v>
      </c>
      <c r="D235">
        <f t="shared" si="16"/>
        <v>1.0735037949483652</v>
      </c>
      <c r="E235">
        <f t="shared" si="17"/>
        <v>1.2566567127037467</v>
      </c>
      <c r="F235">
        <f t="shared" si="18"/>
        <v>-0.14574618183618393</v>
      </c>
      <c r="G235">
        <f t="shared" si="19"/>
        <v>0.21076724318538403</v>
      </c>
      <c r="H235" s="1"/>
    </row>
    <row r="236" spans="1:8" x14ac:dyDescent="0.45">
      <c r="A236" s="1">
        <v>44587</v>
      </c>
      <c r="B236">
        <v>344.57</v>
      </c>
      <c r="C236">
        <f t="shared" si="15"/>
        <v>-1.5647184955521753E-3</v>
      </c>
      <c r="D236">
        <f t="shared" si="16"/>
        <v>1.071824063705364</v>
      </c>
      <c r="E236">
        <f t="shared" si="17"/>
        <v>1.2566567127037467</v>
      </c>
      <c r="F236">
        <f t="shared" si="18"/>
        <v>-0.14708284858536103</v>
      </c>
      <c r="G236">
        <f t="shared" si="19"/>
        <v>0.21163897727136605</v>
      </c>
      <c r="H236" s="1"/>
    </row>
    <row r="237" spans="1:8" x14ac:dyDescent="0.45">
      <c r="A237" s="1">
        <v>44588</v>
      </c>
      <c r="B237">
        <v>341.1</v>
      </c>
      <c r="C237">
        <f t="shared" si="15"/>
        <v>-1.0070522680442173E-2</v>
      </c>
      <c r="D237">
        <f t="shared" si="16"/>
        <v>1.0610302351623755</v>
      </c>
      <c r="E237">
        <f t="shared" si="17"/>
        <v>1.2566567127037467</v>
      </c>
      <c r="F237">
        <f t="shared" si="18"/>
        <v>-0.15567217010322021</v>
      </c>
      <c r="G237">
        <f t="shared" si="19"/>
        <v>0.20996436760393844</v>
      </c>
      <c r="H237" s="1"/>
    </row>
    <row r="238" spans="1:8" x14ac:dyDescent="0.45">
      <c r="A238" s="1">
        <v>44589</v>
      </c>
      <c r="B238">
        <v>351.8</v>
      </c>
      <c r="C238">
        <f t="shared" si="15"/>
        <v>3.1369099970683045E-2</v>
      </c>
      <c r="D238">
        <f t="shared" si="16"/>
        <v>1.0943137986811013</v>
      </c>
      <c r="E238">
        <f t="shared" si="17"/>
        <v>1.2566567127037467</v>
      </c>
      <c r="F238">
        <f t="shared" si="18"/>
        <v>-0.12918636599915834</v>
      </c>
      <c r="G238">
        <f t="shared" si="19"/>
        <v>0.25211731696575679</v>
      </c>
      <c r="H238" s="1"/>
    </row>
    <row r="239" spans="1:8" x14ac:dyDescent="0.45">
      <c r="A239" s="1">
        <v>44592</v>
      </c>
      <c r="B239">
        <v>363.05</v>
      </c>
      <c r="C239">
        <f t="shared" si="15"/>
        <v>3.1978396816372934E-2</v>
      </c>
      <c r="D239">
        <f t="shared" si="16"/>
        <v>1.129308199576958</v>
      </c>
      <c r="E239">
        <f t="shared" si="17"/>
        <v>1.2566567127037467</v>
      </c>
      <c r="F239">
        <f t="shared" si="18"/>
        <v>-0.10133914205797168</v>
      </c>
      <c r="G239">
        <f t="shared" si="19"/>
        <v>0.28644556624978101</v>
      </c>
      <c r="H239" s="1"/>
    </row>
    <row r="240" spans="1:8" x14ac:dyDescent="0.45">
      <c r="A240" s="1">
        <v>44593</v>
      </c>
      <c r="B240">
        <v>365.52</v>
      </c>
      <c r="C240">
        <f t="shared" si="15"/>
        <v>6.8034705963364583E-3</v>
      </c>
      <c r="D240">
        <f t="shared" si="16"/>
        <v>1.1369914147069815</v>
      </c>
      <c r="E240">
        <f t="shared" si="17"/>
        <v>1.2566567127037467</v>
      </c>
      <c r="F240">
        <f t="shared" si="18"/>
        <v>-9.5225129334884584E-2</v>
      </c>
      <c r="G240">
        <f t="shared" si="19"/>
        <v>0.28478086449541207</v>
      </c>
      <c r="H240" s="1"/>
    </row>
    <row r="241" spans="1:8" x14ac:dyDescent="0.45">
      <c r="A241" s="1">
        <v>44594</v>
      </c>
      <c r="B241">
        <v>368.49</v>
      </c>
      <c r="C241">
        <f t="shared" si="15"/>
        <v>8.1254103742613992E-3</v>
      </c>
      <c r="D241">
        <f t="shared" si="16"/>
        <v>1.1462299365434878</v>
      </c>
      <c r="E241">
        <f t="shared" si="17"/>
        <v>1.2566567127037467</v>
      </c>
      <c r="F241">
        <f t="shared" si="18"/>
        <v>-8.7873462214411169E-2</v>
      </c>
      <c r="G241">
        <f t="shared" si="19"/>
        <v>0.28635141350462368</v>
      </c>
      <c r="H241" s="1"/>
    </row>
    <row r="242" spans="1:8" x14ac:dyDescent="0.45">
      <c r="A242" s="1">
        <v>44595</v>
      </c>
      <c r="B242">
        <v>353.55</v>
      </c>
      <c r="C242">
        <f t="shared" si="15"/>
        <v>-4.0543841081169041E-2</v>
      </c>
      <c r="D242">
        <f t="shared" si="16"/>
        <v>1.0997573721537901</v>
      </c>
      <c r="E242">
        <f t="shared" si="17"/>
        <v>1.2566567127037467</v>
      </c>
      <c r="F242">
        <f t="shared" si="18"/>
        <v>-0.12485457560830704</v>
      </c>
      <c r="G242">
        <f t="shared" si="19"/>
        <v>0.30050974953482945</v>
      </c>
      <c r="H242" s="1"/>
    </row>
    <row r="243" spans="1:8" x14ac:dyDescent="0.45">
      <c r="A243" s="1">
        <v>44596</v>
      </c>
      <c r="B243">
        <v>358.01</v>
      </c>
      <c r="C243">
        <f t="shared" si="15"/>
        <v>1.2614905953896027E-2</v>
      </c>
      <c r="D243">
        <f t="shared" si="16"/>
        <v>1.113630707975614</v>
      </c>
      <c r="E243">
        <f t="shared" si="17"/>
        <v>1.2566567127037467</v>
      </c>
      <c r="F243">
        <f t="shared" si="18"/>
        <v>-0.11381469838362346</v>
      </c>
      <c r="G243">
        <f t="shared" si="19"/>
        <v>0.30610756125715038</v>
      </c>
      <c r="H243" s="1"/>
    </row>
    <row r="244" spans="1:8" x14ac:dyDescent="0.45">
      <c r="A244" s="1">
        <v>44599</v>
      </c>
      <c r="B244">
        <v>355.13</v>
      </c>
      <c r="C244">
        <f t="shared" si="15"/>
        <v>-8.0444680316191786E-3</v>
      </c>
      <c r="D244">
        <f t="shared" si="16"/>
        <v>1.1046721413462748</v>
      </c>
      <c r="E244">
        <f t="shared" si="17"/>
        <v>1.2566567127037467</v>
      </c>
      <c r="F244">
        <f t="shared" si="18"/>
        <v>-0.12094358771256719</v>
      </c>
      <c r="G244">
        <f t="shared" si="19"/>
        <v>0.30535942246804848</v>
      </c>
      <c r="H244" s="1"/>
    </row>
    <row r="245" spans="1:8" x14ac:dyDescent="0.45">
      <c r="A245" s="1">
        <v>44600</v>
      </c>
      <c r="B245">
        <v>359.12</v>
      </c>
      <c r="C245">
        <f t="shared" si="15"/>
        <v>1.1235322276349491E-2</v>
      </c>
      <c r="D245">
        <f t="shared" si="16"/>
        <v>1.1170834888640053</v>
      </c>
      <c r="E245">
        <f t="shared" si="17"/>
        <v>1.2566567127037467</v>
      </c>
      <c r="F245">
        <f t="shared" si="18"/>
        <v>-0.1110671056214263</v>
      </c>
      <c r="G245">
        <f t="shared" si="19"/>
        <v>0.30940589443120198</v>
      </c>
      <c r="H245" s="1"/>
    </row>
    <row r="246" spans="1:8" x14ac:dyDescent="0.45">
      <c r="A246" s="1">
        <v>44601</v>
      </c>
      <c r="B246">
        <v>366.73</v>
      </c>
      <c r="C246">
        <f t="shared" si="15"/>
        <v>2.119068834929827E-2</v>
      </c>
      <c r="D246">
        <f t="shared" si="16"/>
        <v>1.1407552569366692</v>
      </c>
      <c r="E246">
        <f t="shared" si="17"/>
        <v>1.2566567127037467</v>
      </c>
      <c r="F246">
        <f t="shared" si="18"/>
        <v>-9.2230005693210271E-2</v>
      </c>
      <c r="G246">
        <f t="shared" si="19"/>
        <v>0.31480792701353277</v>
      </c>
      <c r="H246" s="1"/>
    </row>
    <row r="247" spans="1:8" x14ac:dyDescent="0.45">
      <c r="A247" s="1">
        <v>44602</v>
      </c>
      <c r="B247">
        <v>358.43</v>
      </c>
      <c r="C247">
        <f t="shared" si="15"/>
        <v>-2.2632454394240997E-2</v>
      </c>
      <c r="D247">
        <f t="shared" si="16"/>
        <v>1.1149371656090594</v>
      </c>
      <c r="E247">
        <f t="shared" si="17"/>
        <v>1.2566567127037467</v>
      </c>
      <c r="F247">
        <f t="shared" si="18"/>
        <v>-0.11277506868981901</v>
      </c>
      <c r="G247">
        <f t="shared" si="19"/>
        <v>0.32181423510924401</v>
      </c>
      <c r="H247" s="1"/>
    </row>
    <row r="248" spans="1:8" x14ac:dyDescent="0.45">
      <c r="A248" s="1">
        <v>44603</v>
      </c>
      <c r="B248">
        <v>347.06</v>
      </c>
      <c r="C248">
        <f t="shared" si="15"/>
        <v>-3.1721675083000833E-2</v>
      </c>
      <c r="D248">
        <f t="shared" si="16"/>
        <v>1.0795694911036469</v>
      </c>
      <c r="E248">
        <f t="shared" si="17"/>
        <v>1.2566567127037467</v>
      </c>
      <c r="F248">
        <f t="shared" si="18"/>
        <v>-0.14091932968637844</v>
      </c>
      <c r="G248">
        <f t="shared" si="19"/>
        <v>0.3285219875810258</v>
      </c>
      <c r="H248" s="1"/>
    </row>
    <row r="249" spans="1:8" x14ac:dyDescent="0.45">
      <c r="A249" s="1">
        <v>44606</v>
      </c>
      <c r="B249">
        <v>347.49</v>
      </c>
      <c r="C249">
        <f t="shared" si="15"/>
        <v>1.2389788509190591E-3</v>
      </c>
      <c r="D249">
        <f t="shared" si="16"/>
        <v>1.0809070548712216</v>
      </c>
      <c r="E249">
        <f t="shared" si="17"/>
        <v>1.2566567127037467</v>
      </c>
      <c r="F249">
        <f t="shared" si="18"/>
        <v>-0.13985494690462652</v>
      </c>
      <c r="G249">
        <f t="shared" si="19"/>
        <v>0.32693530930087805</v>
      </c>
      <c r="H249" s="1"/>
    </row>
    <row r="250" spans="1:8" x14ac:dyDescent="0.45">
      <c r="A250" s="1">
        <v>44607</v>
      </c>
      <c r="B250">
        <v>356.13</v>
      </c>
      <c r="C250">
        <f t="shared" si="15"/>
        <v>2.4864024864024836E-2</v>
      </c>
      <c r="D250">
        <f t="shared" si="16"/>
        <v>1.1077827547592396</v>
      </c>
      <c r="E250">
        <f t="shared" si="17"/>
        <v>1.2566567127037467</v>
      </c>
      <c r="F250">
        <f t="shared" si="18"/>
        <v>-0.11846827891779521</v>
      </c>
      <c r="G250">
        <f t="shared" si="19"/>
        <v>0.33293999912829469</v>
      </c>
      <c r="H250" s="1"/>
    </row>
    <row r="251" spans="1:8" x14ac:dyDescent="0.45">
      <c r="A251" s="1">
        <v>44608</v>
      </c>
      <c r="B251">
        <v>356.04</v>
      </c>
      <c r="C251">
        <f t="shared" si="15"/>
        <v>-2.5271670457405193E-4</v>
      </c>
      <c r="D251">
        <f t="shared" si="16"/>
        <v>1.107502799552073</v>
      </c>
      <c r="E251">
        <f t="shared" si="17"/>
        <v>1.2566567127037467</v>
      </c>
      <c r="F251">
        <f t="shared" si="18"/>
        <v>-0.11869105670932445</v>
      </c>
      <c r="G251">
        <f t="shared" si="19"/>
        <v>0.33117692615407279</v>
      </c>
      <c r="H251" s="1"/>
    </row>
    <row r="252" spans="1:8" x14ac:dyDescent="0.45">
      <c r="A252" s="1">
        <v>44609</v>
      </c>
      <c r="B252">
        <v>345.45</v>
      </c>
      <c r="C252">
        <f t="shared" si="15"/>
        <v>-2.9743849005729794E-2</v>
      </c>
      <c r="D252">
        <f t="shared" si="16"/>
        <v>1.0745614035087732</v>
      </c>
      <c r="E252">
        <f t="shared" si="17"/>
        <v>1.2566567127037467</v>
      </c>
      <c r="F252">
        <f t="shared" si="18"/>
        <v>-0.14490457684596159</v>
      </c>
      <c r="G252">
        <f t="shared" si="19"/>
        <v>0.34414934752775722</v>
      </c>
      <c r="H252" s="1"/>
    </row>
    <row r="253" spans="1:8" x14ac:dyDescent="0.45">
      <c r="A253" s="1">
        <v>44610</v>
      </c>
      <c r="B253">
        <v>341.51</v>
      </c>
      <c r="C253">
        <f t="shared" si="15"/>
        <v>-1.1405413229121475E-2</v>
      </c>
      <c r="D253">
        <f t="shared" si="16"/>
        <v>1.0623055866616908</v>
      </c>
      <c r="E253">
        <f t="shared" si="17"/>
        <v>1.2566567127037467</v>
      </c>
      <c r="F253">
        <f t="shared" si="18"/>
        <v>-0.1546572934973639</v>
      </c>
      <c r="G253">
        <f t="shared" si="19"/>
        <v>0.33269779337266769</v>
      </c>
      <c r="H253" s="1"/>
    </row>
    <row r="254" spans="1:8" x14ac:dyDescent="0.45">
      <c r="A254" s="1">
        <v>44614</v>
      </c>
      <c r="B254">
        <v>338.08</v>
      </c>
      <c r="C254">
        <f t="shared" si="15"/>
        <v>-1.0043629761939621E-2</v>
      </c>
      <c r="D254">
        <f t="shared" si="16"/>
        <v>1.0516361826552207</v>
      </c>
      <c r="E254">
        <f t="shared" si="17"/>
        <v>1.2566567127037467</v>
      </c>
      <c r="F254">
        <f t="shared" si="18"/>
        <v>-0.16314760266343231</v>
      </c>
      <c r="G254">
        <f t="shared" si="19"/>
        <v>0.33334370336671088</v>
      </c>
      <c r="H254" s="1"/>
    </row>
    <row r="255" spans="1:8" x14ac:dyDescent="0.45">
      <c r="A255" s="1">
        <v>44615</v>
      </c>
      <c r="B255">
        <v>329.42</v>
      </c>
      <c r="C255">
        <f t="shared" si="15"/>
        <v>-2.5615238996687051E-2</v>
      </c>
      <c r="D255">
        <f t="shared" si="16"/>
        <v>1.0246982704989436</v>
      </c>
      <c r="E255">
        <f t="shared" si="17"/>
        <v>1.2566567127037467</v>
      </c>
      <c r="F255">
        <f t="shared" si="18"/>
        <v>-0.18458377682615912</v>
      </c>
      <c r="G255">
        <f t="shared" si="19"/>
        <v>0.33550086023355413</v>
      </c>
      <c r="H255" s="1"/>
    </row>
    <row r="256" spans="1:8" x14ac:dyDescent="0.45">
      <c r="A256" s="1">
        <v>44616</v>
      </c>
      <c r="B256">
        <v>340.49</v>
      </c>
      <c r="C256">
        <f t="shared" si="15"/>
        <v>3.360451702993128E-2</v>
      </c>
      <c r="D256">
        <f t="shared" si="16"/>
        <v>1.0591327609804664</v>
      </c>
      <c r="E256">
        <f t="shared" si="17"/>
        <v>1.2566567127037467</v>
      </c>
      <c r="F256">
        <f t="shared" si="18"/>
        <v>-0.1571821084680316</v>
      </c>
      <c r="G256">
        <f t="shared" si="19"/>
        <v>0.35868510262747882</v>
      </c>
      <c r="H256" s="1"/>
    </row>
    <row r="257" spans="1:8" x14ac:dyDescent="0.45">
      <c r="A257" s="1">
        <v>44617</v>
      </c>
      <c r="B257">
        <v>345.77</v>
      </c>
      <c r="C257">
        <f t="shared" si="15"/>
        <v>1.5507063349877948E-2</v>
      </c>
      <c r="D257">
        <f t="shared" si="16"/>
        <v>1.0755567998009217</v>
      </c>
      <c r="E257">
        <f t="shared" si="17"/>
        <v>1.2566567127037467</v>
      </c>
      <c r="F257">
        <f t="shared" si="18"/>
        <v>-0.14411247803163474</v>
      </c>
      <c r="G257">
        <f t="shared" si="19"/>
        <v>0.36097725112333662</v>
      </c>
      <c r="H257" s="1"/>
    </row>
    <row r="258" spans="1:8" x14ac:dyDescent="0.45">
      <c r="A258" s="1">
        <v>44620</v>
      </c>
      <c r="B258">
        <v>346.8</v>
      </c>
      <c r="C258">
        <f t="shared" si="15"/>
        <v>2.9788587789572052E-3</v>
      </c>
      <c r="D258">
        <f t="shared" si="16"/>
        <v>1.0787607316162757</v>
      </c>
      <c r="E258">
        <f t="shared" si="17"/>
        <v>1.2566567127037467</v>
      </c>
      <c r="F258">
        <f t="shared" si="18"/>
        <v>-0.14156290997301935</v>
      </c>
      <c r="G258">
        <f t="shared" si="19"/>
        <v>0.34283264691016335</v>
      </c>
      <c r="H258" s="1"/>
    </row>
    <row r="259" spans="1:8" x14ac:dyDescent="0.45">
      <c r="A259" s="1">
        <v>44621</v>
      </c>
      <c r="B259">
        <v>341.49</v>
      </c>
      <c r="C259">
        <f t="shared" si="15"/>
        <v>-1.5311418685121092E-2</v>
      </c>
      <c r="D259">
        <f t="shared" si="16"/>
        <v>1.0622433743934314</v>
      </c>
      <c r="E259">
        <f t="shared" si="17"/>
        <v>1.2566567127037467</v>
      </c>
      <c r="F259">
        <f t="shared" si="18"/>
        <v>-0.1547067996732594</v>
      </c>
      <c r="G259">
        <f t="shared" si="19"/>
        <v>0.3240045028208669</v>
      </c>
      <c r="H259" s="1"/>
    </row>
    <row r="260" spans="1:8" x14ac:dyDescent="0.45">
      <c r="A260" s="1">
        <v>44622</v>
      </c>
      <c r="B260">
        <v>347.22</v>
      </c>
      <c r="C260">
        <f t="shared" ref="C260:C323" si="20">IFERROR((B260/B259)-1,"")</f>
        <v>1.6779407888957376E-2</v>
      </c>
      <c r="D260">
        <f t="shared" ref="D260:D323" si="21">D259*(1+C260)</f>
        <v>1.0800671892497213</v>
      </c>
      <c r="E260">
        <f t="shared" ref="E260:E323" si="22">MAX(E259,D260)</f>
        <v>1.2566567127037467</v>
      </c>
      <c r="F260">
        <f t="shared" ref="F260:F323" si="23">D260/E260-1</f>
        <v>-0.14052328027921479</v>
      </c>
      <c r="G260">
        <f t="shared" si="19"/>
        <v>0.32983240250019608</v>
      </c>
      <c r="H260" s="1"/>
    </row>
    <row r="261" spans="1:8" x14ac:dyDescent="0.45">
      <c r="A261" s="1">
        <v>44623</v>
      </c>
      <c r="B261">
        <v>342.26</v>
      </c>
      <c r="C261">
        <f t="shared" si="20"/>
        <v>-1.4284891423305246E-2</v>
      </c>
      <c r="D261">
        <f t="shared" si="21"/>
        <v>1.0646385467214146</v>
      </c>
      <c r="E261">
        <f t="shared" si="22"/>
        <v>1.2566567127037467</v>
      </c>
      <c r="F261">
        <f t="shared" si="23"/>
        <v>-0.15280081190128481</v>
      </c>
      <c r="G261">
        <f t="shared" si="19"/>
        <v>0.32997719290152056</v>
      </c>
      <c r="H261" s="1"/>
    </row>
    <row r="262" spans="1:8" x14ac:dyDescent="0.45">
      <c r="A262" s="1">
        <v>44624</v>
      </c>
      <c r="B262">
        <v>337.3</v>
      </c>
      <c r="C262">
        <f t="shared" si="20"/>
        <v>-1.4491906737567839E-2</v>
      </c>
      <c r="D262">
        <f t="shared" si="21"/>
        <v>1.049209904193108</v>
      </c>
      <c r="E262">
        <f t="shared" si="22"/>
        <v>1.2566567127037467</v>
      </c>
      <c r="F262">
        <f t="shared" si="23"/>
        <v>-0.1650783435233546</v>
      </c>
      <c r="G262">
        <f t="shared" si="19"/>
        <v>0.30302262858679341</v>
      </c>
      <c r="H262" s="1"/>
    </row>
    <row r="263" spans="1:8" x14ac:dyDescent="0.45">
      <c r="A263" s="1">
        <v>44627</v>
      </c>
      <c r="B263">
        <v>324.86</v>
      </c>
      <c r="C263">
        <f t="shared" si="20"/>
        <v>-3.6881114734657605E-2</v>
      </c>
      <c r="D263">
        <f t="shared" si="21"/>
        <v>1.0105138733358228</v>
      </c>
      <c r="E263">
        <f t="shared" si="22"/>
        <v>1.2566567127037467</v>
      </c>
      <c r="F263">
        <f t="shared" si="23"/>
        <v>-0.1958711849303203</v>
      </c>
      <c r="G263">
        <f t="shared" si="19"/>
        <v>0.3213569837124039</v>
      </c>
      <c r="H263" s="1"/>
    </row>
    <row r="264" spans="1:8" x14ac:dyDescent="0.45">
      <c r="A264" s="1">
        <v>44628</v>
      </c>
      <c r="B264">
        <v>323.35000000000002</v>
      </c>
      <c r="C264">
        <f t="shared" si="20"/>
        <v>-4.6481561287938788E-3</v>
      </c>
      <c r="D264">
        <f t="shared" si="21"/>
        <v>1.0058168470822457</v>
      </c>
      <c r="E264">
        <f t="shared" si="22"/>
        <v>1.2566567127037467</v>
      </c>
      <c r="F264">
        <f t="shared" si="23"/>
        <v>-0.19960890121042607</v>
      </c>
      <c r="G264">
        <f t="shared" si="19"/>
        <v>0.32110741616078925</v>
      </c>
      <c r="H264" s="1"/>
    </row>
    <row r="265" spans="1:8" x14ac:dyDescent="0.45">
      <c r="A265" s="1">
        <v>44629</v>
      </c>
      <c r="B265">
        <v>334.99</v>
      </c>
      <c r="C265">
        <f t="shared" si="20"/>
        <v>3.5998144425545053E-2</v>
      </c>
      <c r="D265">
        <f t="shared" si="21"/>
        <v>1.0420243872091588</v>
      </c>
      <c r="E265">
        <f t="shared" si="22"/>
        <v>1.2566567127037467</v>
      </c>
      <c r="F265">
        <f t="shared" si="23"/>
        <v>-0.17079630683927827</v>
      </c>
      <c r="G265">
        <f t="shared" si="19"/>
        <v>0.3480807821607802</v>
      </c>
      <c r="H265" s="1"/>
    </row>
    <row r="266" spans="1:8" x14ac:dyDescent="0.45">
      <c r="A266" s="1">
        <v>44630</v>
      </c>
      <c r="B266">
        <v>331.27</v>
      </c>
      <c r="C266">
        <f t="shared" si="20"/>
        <v>-1.11048090987792E-2</v>
      </c>
      <c r="D266">
        <f t="shared" si="21"/>
        <v>1.0304529053129288</v>
      </c>
      <c r="E266">
        <f t="shared" si="22"/>
        <v>1.2566567127037467</v>
      </c>
      <c r="F266">
        <f t="shared" si="23"/>
        <v>-0.18000445555583078</v>
      </c>
      <c r="G266">
        <f t="shared" si="19"/>
        <v>0.33670416176002066</v>
      </c>
      <c r="H266" s="1"/>
    </row>
    <row r="267" spans="1:8" x14ac:dyDescent="0.45">
      <c r="A267" s="1">
        <v>44631</v>
      </c>
      <c r="B267">
        <v>324.39999999999998</v>
      </c>
      <c r="C267">
        <f t="shared" si="20"/>
        <v>-2.0738370513478488E-2</v>
      </c>
      <c r="D267">
        <f t="shared" si="21"/>
        <v>1.009082991165859</v>
      </c>
      <c r="E267">
        <f t="shared" si="22"/>
        <v>1.2566567127037467</v>
      </c>
      <c r="F267">
        <f t="shared" si="23"/>
        <v>-0.1970098269759154</v>
      </c>
      <c r="G267">
        <f t="shared" si="19"/>
        <v>0.33544279451390274</v>
      </c>
      <c r="H267" s="1"/>
    </row>
    <row r="268" spans="1:8" x14ac:dyDescent="0.45">
      <c r="A268" s="1">
        <v>44634</v>
      </c>
      <c r="B268">
        <v>318.17</v>
      </c>
      <c r="C268">
        <f t="shared" si="20"/>
        <v>-1.9204685573366076E-2</v>
      </c>
      <c r="D268">
        <f t="shared" si="21"/>
        <v>0.98970386960308687</v>
      </c>
      <c r="E268">
        <f t="shared" si="22"/>
        <v>1.2566567127037467</v>
      </c>
      <c r="F268">
        <f t="shared" si="23"/>
        <v>-0.21243100076734578</v>
      </c>
      <c r="G268">
        <f t="shared" si="19"/>
        <v>0.32487705001913503</v>
      </c>
      <c r="H268" s="1"/>
    </row>
    <row r="269" spans="1:8" x14ac:dyDescent="0.45">
      <c r="A269" s="1">
        <v>44635</v>
      </c>
      <c r="B269">
        <v>328.15</v>
      </c>
      <c r="C269">
        <f t="shared" si="20"/>
        <v>3.1366879341232501E-2</v>
      </c>
      <c r="D269">
        <f t="shared" si="21"/>
        <v>1.0207477914644778</v>
      </c>
      <c r="E269">
        <f t="shared" si="22"/>
        <v>1.2566567127037467</v>
      </c>
      <c r="F269">
        <f t="shared" si="23"/>
        <v>-0.18772741899551981</v>
      </c>
      <c r="G269">
        <f t="shared" si="19"/>
        <v>0.34825133270437159</v>
      </c>
      <c r="H269" s="1"/>
    </row>
    <row r="270" spans="1:8" x14ac:dyDescent="0.45">
      <c r="A270" s="1">
        <v>44636</v>
      </c>
      <c r="B270">
        <v>340.32</v>
      </c>
      <c r="C270">
        <f t="shared" si="20"/>
        <v>3.7086698156330922E-2</v>
      </c>
      <c r="D270">
        <f t="shared" si="21"/>
        <v>1.0586039567002623</v>
      </c>
      <c r="E270">
        <f t="shared" si="22"/>
        <v>1.2566567127037467</v>
      </c>
      <c r="F270">
        <f t="shared" si="23"/>
        <v>-0.15760291096314283</v>
      </c>
      <c r="G270">
        <f t="shared" si="19"/>
        <v>0.36342258566589064</v>
      </c>
      <c r="H270" s="1"/>
    </row>
    <row r="271" spans="1:8" x14ac:dyDescent="0.45">
      <c r="A271" s="1">
        <v>44637</v>
      </c>
      <c r="B271">
        <v>344.44</v>
      </c>
      <c r="C271">
        <f t="shared" si="20"/>
        <v>1.2106252938410833E-2</v>
      </c>
      <c r="D271">
        <f t="shared" si="21"/>
        <v>1.0714196839616781</v>
      </c>
      <c r="E271">
        <f t="shared" si="22"/>
        <v>1.2566567127037467</v>
      </c>
      <c r="F271">
        <f t="shared" si="23"/>
        <v>-0.1474046387286817</v>
      </c>
      <c r="G271">
        <f t="shared" si="19"/>
        <v>0.36685148253654909</v>
      </c>
      <c r="H271" s="1"/>
    </row>
    <row r="272" spans="1:8" x14ac:dyDescent="0.45">
      <c r="A272" s="1">
        <v>44638</v>
      </c>
      <c r="B272">
        <v>351.49</v>
      </c>
      <c r="C272">
        <f t="shared" si="20"/>
        <v>2.0468006038787623E-2</v>
      </c>
      <c r="D272">
        <f t="shared" si="21"/>
        <v>1.0933495085230815</v>
      </c>
      <c r="E272">
        <f t="shared" si="22"/>
        <v>1.2566567127037467</v>
      </c>
      <c r="F272">
        <f t="shared" si="23"/>
        <v>-0.12995371172553816</v>
      </c>
      <c r="G272">
        <f t="shared" si="19"/>
        <v>0.35860615541124669</v>
      </c>
      <c r="H272" s="1"/>
    </row>
    <row r="273" spans="1:8" x14ac:dyDescent="0.45">
      <c r="A273" s="1">
        <v>44641</v>
      </c>
      <c r="B273">
        <v>350.08</v>
      </c>
      <c r="C273">
        <f t="shared" si="20"/>
        <v>-4.0114939258585336E-3</v>
      </c>
      <c r="D273">
        <f t="shared" si="21"/>
        <v>1.0889635436108007</v>
      </c>
      <c r="E273">
        <f t="shared" si="22"/>
        <v>1.2566567127037467</v>
      </c>
      <c r="F273">
        <f t="shared" si="23"/>
        <v>-0.133443897126167</v>
      </c>
      <c r="G273">
        <f t="shared" si="19"/>
        <v>0.35613601017137025</v>
      </c>
      <c r="H273" s="1"/>
    </row>
    <row r="274" spans="1:8" x14ac:dyDescent="0.45">
      <c r="A274" s="1">
        <v>44642</v>
      </c>
      <c r="B274">
        <v>356.96</v>
      </c>
      <c r="C274">
        <f t="shared" si="20"/>
        <v>1.9652650822669093E-2</v>
      </c>
      <c r="D274">
        <f t="shared" si="21"/>
        <v>1.1103645638920001</v>
      </c>
      <c r="E274">
        <f t="shared" si="22"/>
        <v>1.2566567127037467</v>
      </c>
      <c r="F274">
        <f t="shared" si="23"/>
        <v>-0.11641377261813468</v>
      </c>
      <c r="G274">
        <f t="shared" si="19"/>
        <v>0.35898250196091686</v>
      </c>
      <c r="H274" s="1"/>
    </row>
    <row r="275" spans="1:8" x14ac:dyDescent="0.45">
      <c r="A275" s="1">
        <v>44643</v>
      </c>
      <c r="B275">
        <v>351.83</v>
      </c>
      <c r="C275">
        <f t="shared" si="20"/>
        <v>-1.4371358135365275E-2</v>
      </c>
      <c r="D275">
        <f t="shared" si="21"/>
        <v>1.0944071170834895</v>
      </c>
      <c r="E275">
        <f t="shared" si="22"/>
        <v>1.2566567127037467</v>
      </c>
      <c r="F275">
        <f t="shared" si="23"/>
        <v>-0.12911210673531581</v>
      </c>
      <c r="G275">
        <f t="shared" si="19"/>
        <v>0.34919583947473576</v>
      </c>
      <c r="H275" s="1"/>
    </row>
    <row r="276" spans="1:8" x14ac:dyDescent="0.45">
      <c r="A276" s="1">
        <v>44644</v>
      </c>
      <c r="B276">
        <v>359.65</v>
      </c>
      <c r="C276">
        <f t="shared" si="20"/>
        <v>2.2226643549441372E-2</v>
      </c>
      <c r="D276">
        <f t="shared" si="21"/>
        <v>1.1187321139728759</v>
      </c>
      <c r="E276">
        <f t="shared" si="22"/>
        <v>1.2566567127037467</v>
      </c>
      <c r="F276">
        <f t="shared" si="23"/>
        <v>-0.10975519196019778</v>
      </c>
      <c r="G276">
        <f t="shared" si="19"/>
        <v>0.33836443795635285</v>
      </c>
      <c r="H276" s="1"/>
    </row>
    <row r="277" spans="1:8" x14ac:dyDescent="0.45">
      <c r="A277" s="1">
        <v>44645</v>
      </c>
      <c r="B277">
        <v>359.35</v>
      </c>
      <c r="C277">
        <f t="shared" si="20"/>
        <v>-8.3414430696493458E-4</v>
      </c>
      <c r="D277">
        <f t="shared" si="21"/>
        <v>1.1177989299489866</v>
      </c>
      <c r="E277">
        <f t="shared" si="22"/>
        <v>1.2566567127037467</v>
      </c>
      <c r="F277">
        <f t="shared" si="23"/>
        <v>-0.11049778459862925</v>
      </c>
      <c r="G277">
        <f t="shared" si="19"/>
        <v>0.33528294287432042</v>
      </c>
      <c r="H277" s="1"/>
    </row>
    <row r="278" spans="1:8" x14ac:dyDescent="0.45">
      <c r="A278" s="1">
        <v>44648</v>
      </c>
      <c r="B278">
        <v>364.91</v>
      </c>
      <c r="C278">
        <f t="shared" si="20"/>
        <v>1.5472380687352238E-2</v>
      </c>
      <c r="D278">
        <f t="shared" si="21"/>
        <v>1.1350939405250722</v>
      </c>
      <c r="E278">
        <f t="shared" si="22"/>
        <v>1.2566567127037467</v>
      </c>
      <c r="F278">
        <f t="shared" si="23"/>
        <v>-9.6735067699696087E-2</v>
      </c>
      <c r="G278">
        <f t="shared" ref="G278:G341" si="24">_xlfn.STDEV.S(C259:C278)*SQRT(252)</f>
        <v>0.33861434865921869</v>
      </c>
      <c r="H278" s="1"/>
    </row>
    <row r="279" spans="1:8" x14ac:dyDescent="0.45">
      <c r="A279" s="1">
        <v>44649</v>
      </c>
      <c r="B279">
        <v>371.19</v>
      </c>
      <c r="C279">
        <f t="shared" si="20"/>
        <v>1.720972294538381E-2</v>
      </c>
      <c r="D279">
        <f t="shared" si="21"/>
        <v>1.1546285927584927</v>
      </c>
      <c r="E279">
        <f t="shared" si="22"/>
        <v>1.2566567127037467</v>
      </c>
      <c r="F279">
        <f t="shared" si="23"/>
        <v>-8.1190128468526912E-2</v>
      </c>
      <c r="G279">
        <f t="shared" si="24"/>
        <v>0.33525054104733498</v>
      </c>
      <c r="H279" s="1"/>
    </row>
    <row r="280" spans="1:8" x14ac:dyDescent="0.45">
      <c r="A280" s="1">
        <v>44650</v>
      </c>
      <c r="B280">
        <v>367.09</v>
      </c>
      <c r="C280">
        <f t="shared" si="20"/>
        <v>-1.1045556184164473E-2</v>
      </c>
      <c r="D280">
        <f t="shared" si="21"/>
        <v>1.1418750777653359</v>
      </c>
      <c r="E280">
        <f t="shared" si="22"/>
        <v>1.2566567127037467</v>
      </c>
      <c r="F280">
        <f t="shared" si="23"/>
        <v>-9.1338894527092873E-2</v>
      </c>
      <c r="G280">
        <f t="shared" si="24"/>
        <v>0.33615994419723721</v>
      </c>
      <c r="H280" s="1"/>
    </row>
    <row r="281" spans="1:8" x14ac:dyDescent="0.45">
      <c r="A281" s="1">
        <v>44651</v>
      </c>
      <c r="B281">
        <v>362.54</v>
      </c>
      <c r="C281">
        <f t="shared" si="20"/>
        <v>-1.239478057152188E-2</v>
      </c>
      <c r="D281">
        <f t="shared" si="21"/>
        <v>1.1277217867363452</v>
      </c>
      <c r="E281">
        <f t="shared" si="22"/>
        <v>1.2566567127037467</v>
      </c>
      <c r="F281">
        <f t="shared" si="23"/>
        <v>-0.10260154954330603</v>
      </c>
      <c r="G281">
        <f t="shared" si="24"/>
        <v>0.33493577068390101</v>
      </c>
      <c r="H281" s="1"/>
    </row>
    <row r="282" spans="1:8" x14ac:dyDescent="0.45">
      <c r="A282" s="1">
        <v>44652</v>
      </c>
      <c r="B282">
        <v>361.85</v>
      </c>
      <c r="C282">
        <f t="shared" si="20"/>
        <v>-1.9032382633640266E-3</v>
      </c>
      <c r="D282">
        <f t="shared" si="21"/>
        <v>1.1255754634813993</v>
      </c>
      <c r="E282">
        <f t="shared" si="22"/>
        <v>1.2566567127037467</v>
      </c>
      <c r="F282">
        <f t="shared" si="23"/>
        <v>-0.10430951261169885</v>
      </c>
      <c r="G282">
        <f t="shared" si="24"/>
        <v>0.32909966265475221</v>
      </c>
      <c r="H282" s="1"/>
    </row>
    <row r="283" spans="1:8" x14ac:dyDescent="0.45">
      <c r="A283" s="1">
        <v>44655</v>
      </c>
      <c r="B283">
        <v>369.3</v>
      </c>
      <c r="C283">
        <f t="shared" si="20"/>
        <v>2.0588641702362853E-2</v>
      </c>
      <c r="D283">
        <f t="shared" si="21"/>
        <v>1.1487495334079887</v>
      </c>
      <c r="E283">
        <f t="shared" si="22"/>
        <v>1.2566567127037467</v>
      </c>
      <c r="F283">
        <f t="shared" si="23"/>
        <v>-8.5868462090646358E-2</v>
      </c>
      <c r="G283">
        <f t="shared" si="24"/>
        <v>0.29668658249625468</v>
      </c>
      <c r="H283" s="1"/>
    </row>
    <row r="284" spans="1:8" x14ac:dyDescent="0.45">
      <c r="A284" s="1">
        <v>44656</v>
      </c>
      <c r="B284">
        <v>361.1</v>
      </c>
      <c r="C284">
        <f t="shared" si="20"/>
        <v>-2.2204170051448702E-2</v>
      </c>
      <c r="D284">
        <f t="shared" si="21"/>
        <v>1.1232425034216753</v>
      </c>
      <c r="E284">
        <f t="shared" si="22"/>
        <v>1.2566567127037467</v>
      </c>
      <c r="F284">
        <f t="shared" si="23"/>
        <v>-0.10616599420777806</v>
      </c>
      <c r="G284">
        <f t="shared" si="24"/>
        <v>0.31167734802283831</v>
      </c>
      <c r="H284" s="1"/>
    </row>
    <row r="285" spans="1:8" x14ac:dyDescent="0.45">
      <c r="A285" s="1">
        <v>44657</v>
      </c>
      <c r="B285">
        <v>353.26</v>
      </c>
      <c r="C285">
        <f t="shared" si="20"/>
        <v>-2.1711437274993139E-2</v>
      </c>
      <c r="D285">
        <f t="shared" si="21"/>
        <v>1.0988552942640293</v>
      </c>
      <c r="E285">
        <f t="shared" si="22"/>
        <v>1.2566567127037467</v>
      </c>
      <c r="F285">
        <f t="shared" si="23"/>
        <v>-0.12557241515879181</v>
      </c>
      <c r="G285">
        <f t="shared" si="24"/>
        <v>0.3045529327567128</v>
      </c>
      <c r="H285" s="1"/>
    </row>
    <row r="286" spans="1:8" x14ac:dyDescent="0.45">
      <c r="A286" s="1">
        <v>44658</v>
      </c>
      <c r="B286">
        <v>354.1</v>
      </c>
      <c r="C286">
        <f t="shared" si="20"/>
        <v>2.3778520070203424E-3</v>
      </c>
      <c r="D286">
        <f t="shared" si="21"/>
        <v>1.1014682095309198</v>
      </c>
      <c r="E286">
        <f t="shared" si="22"/>
        <v>1.2566567127037467</v>
      </c>
      <c r="F286">
        <f t="shared" si="23"/>
        <v>-0.12349315577118325</v>
      </c>
      <c r="G286">
        <f t="shared" si="24"/>
        <v>0.30009708755401948</v>
      </c>
      <c r="H286" s="1"/>
    </row>
    <row r="287" spans="1:8" x14ac:dyDescent="0.45">
      <c r="A287" s="1">
        <v>44659</v>
      </c>
      <c r="B287">
        <v>349.15</v>
      </c>
      <c r="C287">
        <f t="shared" si="20"/>
        <v>-1.3979101948602191E-2</v>
      </c>
      <c r="D287">
        <f t="shared" si="21"/>
        <v>1.0860706731367429</v>
      </c>
      <c r="E287">
        <f t="shared" si="22"/>
        <v>1.2566567127037467</v>
      </c>
      <c r="F287">
        <f t="shared" si="23"/>
        <v>-0.13574593430530535</v>
      </c>
      <c r="G287">
        <f t="shared" si="24"/>
        <v>0.29374614921402958</v>
      </c>
      <c r="H287" s="1"/>
    </row>
    <row r="288" spans="1:8" x14ac:dyDescent="0.45">
      <c r="A288" s="1">
        <v>44662</v>
      </c>
      <c r="B288">
        <v>340.89</v>
      </c>
      <c r="C288">
        <f t="shared" si="20"/>
        <v>-2.3657453816411267E-2</v>
      </c>
      <c r="D288">
        <f t="shared" si="21"/>
        <v>1.0603770063456517</v>
      </c>
      <c r="E288">
        <f t="shared" si="22"/>
        <v>1.2566567127037467</v>
      </c>
      <c r="F288">
        <f t="shared" si="23"/>
        <v>-0.15619198495012332</v>
      </c>
      <c r="G288">
        <f t="shared" si="24"/>
        <v>0.29876265354844039</v>
      </c>
      <c r="H288" s="1"/>
    </row>
    <row r="289" spans="1:8" x14ac:dyDescent="0.45">
      <c r="A289" s="1">
        <v>44663</v>
      </c>
      <c r="B289">
        <v>339.45</v>
      </c>
      <c r="C289">
        <f t="shared" si="20"/>
        <v>-4.2242365572472407E-3</v>
      </c>
      <c r="D289">
        <f t="shared" si="21"/>
        <v>1.0558977230309821</v>
      </c>
      <c r="E289">
        <f t="shared" si="22"/>
        <v>1.2566567127037467</v>
      </c>
      <c r="F289">
        <f t="shared" si="23"/>
        <v>-0.15975642961459513</v>
      </c>
      <c r="G289">
        <f t="shared" si="24"/>
        <v>0.28111573781692384</v>
      </c>
      <c r="H289" s="1"/>
    </row>
    <row r="290" spans="1:8" x14ac:dyDescent="0.45">
      <c r="A290" s="1">
        <v>44664</v>
      </c>
      <c r="B290">
        <v>346.35</v>
      </c>
      <c r="C290">
        <f t="shared" si="20"/>
        <v>2.0326999558108794E-2</v>
      </c>
      <c r="D290">
        <f t="shared" si="21"/>
        <v>1.0773609555804409</v>
      </c>
      <c r="E290">
        <f t="shared" si="22"/>
        <v>1.2566567127037467</v>
      </c>
      <c r="F290">
        <f t="shared" si="23"/>
        <v>-0.14267679893066731</v>
      </c>
      <c r="G290">
        <f t="shared" si="24"/>
        <v>0.25864388900131252</v>
      </c>
      <c r="H290" s="1"/>
    </row>
    <row r="291" spans="1:8" x14ac:dyDescent="0.45">
      <c r="A291" s="1">
        <v>44665</v>
      </c>
      <c r="B291">
        <v>338.43</v>
      </c>
      <c r="C291">
        <f t="shared" si="20"/>
        <v>-2.2867042009527938E-2</v>
      </c>
      <c r="D291">
        <f t="shared" si="21"/>
        <v>1.0527248973497578</v>
      </c>
      <c r="E291">
        <f t="shared" si="22"/>
        <v>1.2566567127037467</v>
      </c>
      <c r="F291">
        <f t="shared" si="23"/>
        <v>-0.16228124458526261</v>
      </c>
      <c r="G291">
        <f t="shared" si="24"/>
        <v>0.26834489135475387</v>
      </c>
      <c r="H291" s="1"/>
    </row>
    <row r="292" spans="1:8" x14ac:dyDescent="0.45">
      <c r="A292" s="1">
        <v>44669</v>
      </c>
      <c r="B292">
        <v>338.69</v>
      </c>
      <c r="C292">
        <f t="shared" si="20"/>
        <v>7.682534054309631E-4</v>
      </c>
      <c r="D292">
        <f t="shared" si="21"/>
        <v>1.0535336568371287</v>
      </c>
      <c r="E292">
        <f t="shared" si="22"/>
        <v>1.2566567127037467</v>
      </c>
      <c r="F292">
        <f t="shared" si="23"/>
        <v>-0.16163766429862192</v>
      </c>
      <c r="G292">
        <f t="shared" si="24"/>
        <v>0.25654273999974259</v>
      </c>
      <c r="H292" s="1"/>
    </row>
    <row r="293" spans="1:8" x14ac:dyDescent="0.45">
      <c r="A293" s="1">
        <v>44670</v>
      </c>
      <c r="B293">
        <v>346.26</v>
      </c>
      <c r="C293">
        <f t="shared" si="20"/>
        <v>2.2350822285866156E-2</v>
      </c>
      <c r="D293">
        <f t="shared" si="21"/>
        <v>1.077081000373274</v>
      </c>
      <c r="E293">
        <f t="shared" si="22"/>
        <v>1.2566567127037467</v>
      </c>
      <c r="F293">
        <f t="shared" si="23"/>
        <v>-0.14289957672219677</v>
      </c>
      <c r="G293">
        <f t="shared" si="24"/>
        <v>0.27013832485664208</v>
      </c>
      <c r="H293" s="1"/>
    </row>
    <row r="294" spans="1:8" x14ac:dyDescent="0.45">
      <c r="A294" s="1">
        <v>44671</v>
      </c>
      <c r="B294">
        <v>341.21</v>
      </c>
      <c r="C294">
        <f t="shared" si="20"/>
        <v>-1.4584416334546324E-2</v>
      </c>
      <c r="D294">
        <f t="shared" si="21"/>
        <v>1.0613724026378006</v>
      </c>
      <c r="E294">
        <f t="shared" si="22"/>
        <v>1.2566567127037467</v>
      </c>
      <c r="F294">
        <f t="shared" si="23"/>
        <v>-0.15539988613579603</v>
      </c>
      <c r="G294">
        <f t="shared" si="24"/>
        <v>0.26367164401753473</v>
      </c>
      <c r="H294" s="1"/>
    </row>
    <row r="295" spans="1:8" x14ac:dyDescent="0.45">
      <c r="A295" s="1">
        <v>44672</v>
      </c>
      <c r="B295">
        <v>334.15</v>
      </c>
      <c r="C295">
        <f t="shared" si="20"/>
        <v>-2.0691070015532942E-2</v>
      </c>
      <c r="D295">
        <f t="shared" si="21"/>
        <v>1.0394114719422676</v>
      </c>
      <c r="E295">
        <f t="shared" si="22"/>
        <v>1.2566567127037467</v>
      </c>
      <c r="F295">
        <f t="shared" si="23"/>
        <v>-0.17287556622688738</v>
      </c>
      <c r="G295">
        <f t="shared" si="24"/>
        <v>0.26847588241049852</v>
      </c>
      <c r="H295" s="1"/>
    </row>
    <row r="296" spans="1:8" x14ac:dyDescent="0.45">
      <c r="A296" s="1">
        <v>44673</v>
      </c>
      <c r="B296">
        <v>325.39999999999998</v>
      </c>
      <c r="C296">
        <f t="shared" si="20"/>
        <v>-2.6185844680532644E-2</v>
      </c>
      <c r="D296">
        <f t="shared" si="21"/>
        <v>1.0121936045788236</v>
      </c>
      <c r="E296">
        <f t="shared" si="22"/>
        <v>1.2566567127037467</v>
      </c>
      <c r="F296">
        <f t="shared" si="23"/>
        <v>-0.19453451818114353</v>
      </c>
      <c r="G296">
        <f t="shared" si="24"/>
        <v>0.26445292069918636</v>
      </c>
      <c r="H296" s="1"/>
    </row>
    <row r="297" spans="1:8" x14ac:dyDescent="0.45">
      <c r="A297" s="1">
        <v>44676</v>
      </c>
      <c r="B297">
        <v>329.58</v>
      </c>
      <c r="C297">
        <f t="shared" si="20"/>
        <v>1.2845728334357709E-2</v>
      </c>
      <c r="D297">
        <f t="shared" si="21"/>
        <v>1.0251959686450174</v>
      </c>
      <c r="E297">
        <f t="shared" si="22"/>
        <v>1.2566567127037467</v>
      </c>
      <c r="F297">
        <f t="shared" si="23"/>
        <v>-0.18418772741899603</v>
      </c>
      <c r="G297">
        <f t="shared" si="24"/>
        <v>0.27157681328162181</v>
      </c>
      <c r="H297" s="1"/>
    </row>
    <row r="298" spans="1:8" x14ac:dyDescent="0.45">
      <c r="A298" s="1">
        <v>44677</v>
      </c>
      <c r="B298">
        <v>317.14</v>
      </c>
      <c r="C298">
        <f t="shared" si="20"/>
        <v>-3.7745008799077606E-2</v>
      </c>
      <c r="D298">
        <f t="shared" si="21"/>
        <v>0.98649993778773226</v>
      </c>
      <c r="E298">
        <f t="shared" si="22"/>
        <v>1.2566567127037467</v>
      </c>
      <c r="F298">
        <f t="shared" si="23"/>
        <v>-0.21498056882596162</v>
      </c>
      <c r="G298">
        <f t="shared" si="24"/>
        <v>0.28583613995602286</v>
      </c>
      <c r="H298" s="1"/>
    </row>
    <row r="299" spans="1:8" x14ac:dyDescent="0.45">
      <c r="A299" s="1">
        <v>44678</v>
      </c>
      <c r="B299">
        <v>316.76</v>
      </c>
      <c r="C299">
        <f t="shared" si="20"/>
        <v>-1.1982089928738171E-3</v>
      </c>
      <c r="D299">
        <f t="shared" si="21"/>
        <v>0.98531790469080549</v>
      </c>
      <c r="E299">
        <f t="shared" si="22"/>
        <v>1.2566567127037467</v>
      </c>
      <c r="F299">
        <f t="shared" si="23"/>
        <v>-0.21592118616797507</v>
      </c>
      <c r="G299">
        <f t="shared" si="24"/>
        <v>0.27245239263441984</v>
      </c>
      <c r="H299" s="1"/>
    </row>
    <row r="300" spans="1:8" x14ac:dyDescent="0.45">
      <c r="A300" s="1">
        <v>44679</v>
      </c>
      <c r="B300">
        <v>328.01</v>
      </c>
      <c r="C300">
        <f t="shared" si="20"/>
        <v>3.5515847960601032E-2</v>
      </c>
      <c r="D300">
        <f t="shared" si="21"/>
        <v>1.0203123055866621</v>
      </c>
      <c r="E300">
        <f t="shared" si="22"/>
        <v>1.2566567127037467</v>
      </c>
      <c r="F300">
        <f t="shared" si="23"/>
        <v>-0.1880739622267884</v>
      </c>
      <c r="G300">
        <f t="shared" si="24"/>
        <v>0.31222513898958792</v>
      </c>
      <c r="H300" s="1"/>
    </row>
    <row r="301" spans="1:8" x14ac:dyDescent="0.45">
      <c r="A301" s="1">
        <v>44680</v>
      </c>
      <c r="B301">
        <v>313.25</v>
      </c>
      <c r="C301">
        <f t="shared" si="20"/>
        <v>-4.4998628090606951E-2</v>
      </c>
      <c r="D301">
        <f t="shared" si="21"/>
        <v>0.97439965161129816</v>
      </c>
      <c r="E301">
        <f t="shared" si="22"/>
        <v>1.2566567127037467</v>
      </c>
      <c r="F301">
        <f t="shared" si="23"/>
        <v>-0.22460952003762524</v>
      </c>
      <c r="G301">
        <f t="shared" si="24"/>
        <v>0.34191117401035681</v>
      </c>
      <c r="H301" s="1"/>
    </row>
    <row r="302" spans="1:8" x14ac:dyDescent="0.45">
      <c r="A302" s="1">
        <v>44683</v>
      </c>
      <c r="B302">
        <v>318.48</v>
      </c>
      <c r="C302">
        <f t="shared" si="20"/>
        <v>1.6695929768555606E-2</v>
      </c>
      <c r="D302">
        <f t="shared" si="21"/>
        <v>0.99066815976110545</v>
      </c>
      <c r="E302">
        <f t="shared" si="22"/>
        <v>1.2566567127037467</v>
      </c>
      <c r="F302">
        <f t="shared" si="23"/>
        <v>-0.21166365504096685</v>
      </c>
      <c r="G302">
        <f t="shared" si="24"/>
        <v>0.35186010850962163</v>
      </c>
      <c r="H302" s="1"/>
    </row>
    <row r="303" spans="1:8" x14ac:dyDescent="0.45">
      <c r="A303" s="1">
        <v>44684</v>
      </c>
      <c r="B303">
        <v>318.82</v>
      </c>
      <c r="C303">
        <f t="shared" si="20"/>
        <v>1.0675709620697749E-3</v>
      </c>
      <c r="D303">
        <f t="shared" si="21"/>
        <v>0.99172576832151349</v>
      </c>
      <c r="E303">
        <f t="shared" si="22"/>
        <v>1.2566567127037467</v>
      </c>
      <c r="F303">
        <f t="shared" si="23"/>
        <v>-0.21082205005074439</v>
      </c>
      <c r="G303">
        <f t="shared" si="24"/>
        <v>0.33878038641784636</v>
      </c>
      <c r="H303" s="1"/>
    </row>
    <row r="304" spans="1:8" x14ac:dyDescent="0.45">
      <c r="A304" s="1">
        <v>44685</v>
      </c>
      <c r="B304">
        <v>329.6</v>
      </c>
      <c r="C304">
        <f t="shared" si="20"/>
        <v>3.3812182422683801E-2</v>
      </c>
      <c r="D304">
        <f t="shared" si="21"/>
        <v>1.0252581809132768</v>
      </c>
      <c r="E304">
        <f t="shared" si="22"/>
        <v>1.2566567127037467</v>
      </c>
      <c r="F304">
        <f t="shared" si="23"/>
        <v>-0.18413822124310053</v>
      </c>
      <c r="G304">
        <f t="shared" si="24"/>
        <v>0.36314278680654649</v>
      </c>
      <c r="H304" s="1"/>
    </row>
    <row r="305" spans="1:8" x14ac:dyDescent="0.45">
      <c r="A305" s="1">
        <v>44686</v>
      </c>
      <c r="B305">
        <v>313</v>
      </c>
      <c r="C305">
        <f t="shared" si="20"/>
        <v>-5.0364077669903029E-2</v>
      </c>
      <c r="D305">
        <f t="shared" si="21"/>
        <v>0.97362199825805706</v>
      </c>
      <c r="E305">
        <f t="shared" si="22"/>
        <v>1.2566567127037467</v>
      </c>
      <c r="F305">
        <f t="shared" si="23"/>
        <v>-0.22522834723631824</v>
      </c>
      <c r="G305">
        <f t="shared" si="24"/>
        <v>0.39426819632119459</v>
      </c>
      <c r="H305" s="1"/>
    </row>
    <row r="306" spans="1:8" x14ac:dyDescent="0.45">
      <c r="A306" s="1">
        <v>44687</v>
      </c>
      <c r="B306">
        <v>309.25</v>
      </c>
      <c r="C306">
        <f t="shared" si="20"/>
        <v>-1.1980830670926479E-2</v>
      </c>
      <c r="D306">
        <f t="shared" si="21"/>
        <v>0.96195719795943824</v>
      </c>
      <c r="E306">
        <f t="shared" si="22"/>
        <v>1.2566567127037467</v>
      </c>
      <c r="F306">
        <f t="shared" si="23"/>
        <v>-0.23451075521671372</v>
      </c>
      <c r="G306">
        <f t="shared" si="24"/>
        <v>0.39364258186560774</v>
      </c>
      <c r="H306" s="1"/>
    </row>
    <row r="307" spans="1:8" x14ac:dyDescent="0.45">
      <c r="A307" s="1">
        <v>44690</v>
      </c>
      <c r="B307">
        <v>297.14999999999998</v>
      </c>
      <c r="C307">
        <f t="shared" si="20"/>
        <v>-3.912691996766382E-2</v>
      </c>
      <c r="D307">
        <f t="shared" si="21"/>
        <v>0.92431877566256115</v>
      </c>
      <c r="E307">
        <f t="shared" si="22"/>
        <v>1.2566567127037467</v>
      </c>
      <c r="F307">
        <f t="shared" si="23"/>
        <v>-0.26446199163345674</v>
      </c>
      <c r="G307">
        <f t="shared" si="24"/>
        <v>0.40980763824564437</v>
      </c>
      <c r="H307" s="1"/>
    </row>
    <row r="308" spans="1:8" x14ac:dyDescent="0.45">
      <c r="A308" s="1">
        <v>44691</v>
      </c>
      <c r="B308">
        <v>300.76</v>
      </c>
      <c r="C308">
        <f t="shared" si="20"/>
        <v>1.2148746424364809E-2</v>
      </c>
      <c r="D308">
        <f t="shared" si="21"/>
        <v>0.93554809008336492</v>
      </c>
      <c r="E308">
        <f t="shared" si="22"/>
        <v>1.2566567127037467</v>
      </c>
      <c r="F308">
        <f t="shared" si="23"/>
        <v>-0.2555261268843293</v>
      </c>
      <c r="G308">
        <f t="shared" si="24"/>
        <v>0.4110370794942268</v>
      </c>
      <c r="H308" s="1"/>
    </row>
    <row r="309" spans="1:8" x14ac:dyDescent="0.45">
      <c r="A309" s="1">
        <v>44692</v>
      </c>
      <c r="B309">
        <v>291.83999999999997</v>
      </c>
      <c r="C309">
        <f t="shared" si="20"/>
        <v>-2.9658199228620896E-2</v>
      </c>
      <c r="D309">
        <f t="shared" si="21"/>
        <v>0.90780141843971673</v>
      </c>
      <c r="E309">
        <f t="shared" si="22"/>
        <v>1.2566567127037467</v>
      </c>
      <c r="F309">
        <f t="shared" si="23"/>
        <v>-0.2776058813336969</v>
      </c>
      <c r="G309">
        <f t="shared" si="24"/>
        <v>0.4194723074610292</v>
      </c>
      <c r="H309" s="1"/>
    </row>
    <row r="310" spans="1:8" x14ac:dyDescent="0.45">
      <c r="A310" s="1">
        <v>44693</v>
      </c>
      <c r="B310">
        <v>291.14999999999998</v>
      </c>
      <c r="C310">
        <f t="shared" si="20"/>
        <v>-2.3643092105263275E-3</v>
      </c>
      <c r="D310">
        <f t="shared" si="21"/>
        <v>0.90565509518477083</v>
      </c>
      <c r="E310">
        <f t="shared" si="22"/>
        <v>1.2566567127037467</v>
      </c>
      <c r="F310">
        <f t="shared" si="23"/>
        <v>-0.27931384440208973</v>
      </c>
      <c r="G310">
        <f t="shared" si="24"/>
        <v>0.40728332095272446</v>
      </c>
      <c r="H310" s="1"/>
    </row>
    <row r="311" spans="1:8" x14ac:dyDescent="0.45">
      <c r="A311" s="1">
        <v>44694</v>
      </c>
      <c r="B311">
        <v>301.94</v>
      </c>
      <c r="C311">
        <f t="shared" si="20"/>
        <v>3.7059934741542344E-2</v>
      </c>
      <c r="D311">
        <f t="shared" si="21"/>
        <v>0.93921861391066375</v>
      </c>
      <c r="E311">
        <f t="shared" si="22"/>
        <v>1.2566567127037467</v>
      </c>
      <c r="F311">
        <f t="shared" si="23"/>
        <v>-0.25260526250649817</v>
      </c>
      <c r="G311">
        <f t="shared" si="24"/>
        <v>0.43360978685802498</v>
      </c>
      <c r="H311" s="1"/>
    </row>
    <row r="312" spans="1:8" x14ac:dyDescent="0.45">
      <c r="A312" s="1">
        <v>44697</v>
      </c>
      <c r="B312">
        <v>298.44</v>
      </c>
      <c r="C312">
        <f t="shared" si="20"/>
        <v>-1.1591706961648018E-2</v>
      </c>
      <c r="D312">
        <f t="shared" si="21"/>
        <v>0.92833146696528612</v>
      </c>
      <c r="E312">
        <f t="shared" si="22"/>
        <v>1.2566567127037467</v>
      </c>
      <c r="F312">
        <f t="shared" si="23"/>
        <v>-0.26126884328820066</v>
      </c>
      <c r="G312">
        <f t="shared" si="24"/>
        <v>0.4335232405444478</v>
      </c>
      <c r="H312" s="1"/>
    </row>
    <row r="313" spans="1:8" x14ac:dyDescent="0.45">
      <c r="A313" s="1">
        <v>44698</v>
      </c>
      <c r="B313">
        <v>306.17</v>
      </c>
      <c r="C313">
        <f t="shared" si="20"/>
        <v>2.5901353705937602E-2</v>
      </c>
      <c r="D313">
        <f t="shared" si="21"/>
        <v>0.95237650864750589</v>
      </c>
      <c r="E313">
        <f t="shared" si="22"/>
        <v>1.2566567127037467</v>
      </c>
      <c r="F313">
        <f t="shared" si="23"/>
        <v>-0.24213470630461198</v>
      </c>
      <c r="G313">
        <f t="shared" si="24"/>
        <v>0.43676841267886546</v>
      </c>
      <c r="H313" s="1"/>
    </row>
    <row r="314" spans="1:8" x14ac:dyDescent="0.45">
      <c r="A314" s="1">
        <v>44699</v>
      </c>
      <c r="B314">
        <v>291.14</v>
      </c>
      <c r="C314">
        <f t="shared" si="20"/>
        <v>-4.9090374628474431E-2</v>
      </c>
      <c r="D314">
        <f t="shared" si="21"/>
        <v>0.90562398905064134</v>
      </c>
      <c r="E314">
        <f t="shared" si="22"/>
        <v>1.2566567127037467</v>
      </c>
      <c r="F314">
        <f t="shared" si="23"/>
        <v>-0.27933859749003731</v>
      </c>
      <c r="G314">
        <f t="shared" si="24"/>
        <v>0.46242300325563274</v>
      </c>
      <c r="H314" s="1"/>
    </row>
    <row r="315" spans="1:8" x14ac:dyDescent="0.45">
      <c r="A315" s="1">
        <v>44700</v>
      </c>
      <c r="B315">
        <v>289.58</v>
      </c>
      <c r="C315">
        <f t="shared" si="20"/>
        <v>-5.3582468915298609E-3</v>
      </c>
      <c r="D315">
        <f t="shared" si="21"/>
        <v>0.90077143212641586</v>
      </c>
      <c r="E315">
        <f t="shared" si="22"/>
        <v>1.2566567127037467</v>
      </c>
      <c r="F315">
        <f t="shared" si="23"/>
        <v>-0.28320007920988188</v>
      </c>
      <c r="G315">
        <f t="shared" si="24"/>
        <v>0.45981633435141483</v>
      </c>
      <c r="H315" s="1"/>
    </row>
    <row r="316" spans="1:8" x14ac:dyDescent="0.45">
      <c r="A316" s="1">
        <v>44701</v>
      </c>
      <c r="B316">
        <v>288.68</v>
      </c>
      <c r="C316">
        <f t="shared" si="20"/>
        <v>-3.1079494440222621E-3</v>
      </c>
      <c r="D316">
        <f t="shared" si="21"/>
        <v>0.89797188005474748</v>
      </c>
      <c r="E316">
        <f t="shared" si="22"/>
        <v>1.2566567127037467</v>
      </c>
      <c r="F316">
        <f t="shared" si="23"/>
        <v>-0.28542785712517671</v>
      </c>
      <c r="G316">
        <f t="shared" si="24"/>
        <v>0.45412755095950197</v>
      </c>
      <c r="H316" s="1"/>
    </row>
    <row r="317" spans="1:8" x14ac:dyDescent="0.45">
      <c r="A317" s="1">
        <v>44704</v>
      </c>
      <c r="B317">
        <v>293.48</v>
      </c>
      <c r="C317">
        <f t="shared" si="20"/>
        <v>1.6627407510045655E-2</v>
      </c>
      <c r="D317">
        <f t="shared" si="21"/>
        <v>0.91290282443697957</v>
      </c>
      <c r="E317">
        <f t="shared" si="22"/>
        <v>1.2566567127037467</v>
      </c>
      <c r="F317">
        <f t="shared" si="23"/>
        <v>-0.27354637491027045</v>
      </c>
      <c r="G317">
        <f t="shared" si="24"/>
        <v>0.4563552015915614</v>
      </c>
      <c r="H317" s="1"/>
    </row>
    <row r="318" spans="1:8" x14ac:dyDescent="0.45">
      <c r="A318" s="1">
        <v>44705</v>
      </c>
      <c r="B318">
        <v>287.24</v>
      </c>
      <c r="C318">
        <f t="shared" si="20"/>
        <v>-2.1262096224614946E-2</v>
      </c>
      <c r="D318">
        <f t="shared" si="21"/>
        <v>0.89349259674007775</v>
      </c>
      <c r="E318">
        <f t="shared" si="22"/>
        <v>1.2566567127037467</v>
      </c>
      <c r="F318">
        <f t="shared" si="23"/>
        <v>-0.28899230178964863</v>
      </c>
      <c r="G318">
        <f t="shared" si="24"/>
        <v>0.4444499235936431</v>
      </c>
      <c r="H318" s="1"/>
    </row>
    <row r="319" spans="1:8" x14ac:dyDescent="0.45">
      <c r="A319" s="1">
        <v>44706</v>
      </c>
      <c r="B319">
        <v>291.26</v>
      </c>
      <c r="C319">
        <f t="shared" si="20"/>
        <v>1.3995265283386571E-2</v>
      </c>
      <c r="D319">
        <f t="shared" si="21"/>
        <v>0.90599726266019709</v>
      </c>
      <c r="E319">
        <f t="shared" si="22"/>
        <v>1.2566567127037467</v>
      </c>
      <c r="F319">
        <f t="shared" si="23"/>
        <v>-0.27904156043466466</v>
      </c>
      <c r="G319">
        <f t="shared" si="24"/>
        <v>0.44922232154671687</v>
      </c>
      <c r="H319" s="1"/>
    </row>
    <row r="320" spans="1:8" x14ac:dyDescent="0.45">
      <c r="A320" s="1">
        <v>44707</v>
      </c>
      <c r="B320">
        <v>299.33</v>
      </c>
      <c r="C320">
        <f t="shared" si="20"/>
        <v>2.7707203186156715E-2</v>
      </c>
      <c r="D320">
        <f t="shared" si="21"/>
        <v>0.93109991290282501</v>
      </c>
      <c r="E320">
        <f t="shared" si="22"/>
        <v>1.2566567127037467</v>
      </c>
      <c r="F320">
        <f t="shared" si="23"/>
        <v>-0.25906581846085341</v>
      </c>
      <c r="G320">
        <f t="shared" si="24"/>
        <v>0.44093592229631884</v>
      </c>
      <c r="H320" s="1"/>
    </row>
    <row r="321" spans="1:8" x14ac:dyDescent="0.45">
      <c r="A321" s="1">
        <v>44708</v>
      </c>
      <c r="B321">
        <v>309.10000000000002</v>
      </c>
      <c r="C321">
        <f t="shared" si="20"/>
        <v>3.2639561687769492E-2</v>
      </c>
      <c r="D321">
        <f t="shared" si="21"/>
        <v>0.96149060594749358</v>
      </c>
      <c r="E321">
        <f t="shared" si="22"/>
        <v>1.2566567127037467</v>
      </c>
      <c r="F321">
        <f t="shared" si="23"/>
        <v>-0.23488205153592945</v>
      </c>
      <c r="G321">
        <f t="shared" si="24"/>
        <v>0.43166984990125268</v>
      </c>
      <c r="H321" s="1"/>
    </row>
    <row r="322" spans="1:8" x14ac:dyDescent="0.45">
      <c r="A322" s="1">
        <v>44712</v>
      </c>
      <c r="B322">
        <v>308.27999999999997</v>
      </c>
      <c r="C322">
        <f t="shared" si="20"/>
        <v>-2.6528631510839285E-3</v>
      </c>
      <c r="D322">
        <f t="shared" si="21"/>
        <v>0.95893990294886211</v>
      </c>
      <c r="E322">
        <f t="shared" si="22"/>
        <v>1.2566567127037467</v>
      </c>
      <c r="F322">
        <f t="shared" si="23"/>
        <v>-0.23691180474764273</v>
      </c>
      <c r="G322">
        <f t="shared" si="24"/>
        <v>0.42699694589513848</v>
      </c>
      <c r="H322" s="1"/>
    </row>
    <row r="323" spans="1:8" x14ac:dyDescent="0.45">
      <c r="A323" s="1">
        <v>44713</v>
      </c>
      <c r="B323">
        <v>306</v>
      </c>
      <c r="C323">
        <f t="shared" si="20"/>
        <v>-7.3958738808874713E-3</v>
      </c>
      <c r="D323">
        <f t="shared" si="21"/>
        <v>0.95184770436730182</v>
      </c>
      <c r="E323">
        <f t="shared" si="22"/>
        <v>1.2566567127037467</v>
      </c>
      <c r="F323">
        <f t="shared" si="23"/>
        <v>-0.24255550879972321</v>
      </c>
      <c r="G323">
        <f t="shared" si="24"/>
        <v>0.42743643734805958</v>
      </c>
      <c r="H323" s="1"/>
    </row>
    <row r="324" spans="1:8" x14ac:dyDescent="0.45">
      <c r="A324" s="1">
        <v>44714</v>
      </c>
      <c r="B324">
        <v>314.38</v>
      </c>
      <c r="C324">
        <f t="shared" ref="C324:C387" si="25">IFERROR((B324/B323)-1,"")</f>
        <v>2.7385620915032716E-2</v>
      </c>
      <c r="D324">
        <f t="shared" ref="D324:D387" si="26">D323*(1+C324)</f>
        <v>0.97791464476794887</v>
      </c>
      <c r="E324">
        <f t="shared" ref="E324:E387" si="27">MAX(E323,D324)</f>
        <v>1.2566567127037467</v>
      </c>
      <c r="F324">
        <f t="shared" ref="F324:F387" si="28">D324/E324-1</f>
        <v>-0.22181242109953259</v>
      </c>
      <c r="G324">
        <f t="shared" si="24"/>
        <v>0.42091317599562389</v>
      </c>
      <c r="H324" s="1"/>
    </row>
    <row r="325" spans="1:8" x14ac:dyDescent="0.45">
      <c r="A325" s="1">
        <v>44715</v>
      </c>
      <c r="B325">
        <v>306.2</v>
      </c>
      <c r="C325">
        <f t="shared" si="25"/>
        <v>-2.6019466887206577E-2</v>
      </c>
      <c r="D325">
        <f t="shared" si="26"/>
        <v>0.9524698270498948</v>
      </c>
      <c r="E325">
        <f t="shared" si="27"/>
        <v>1.2566567127037467</v>
      </c>
      <c r="F325">
        <f t="shared" si="28"/>
        <v>-0.24206044704076879</v>
      </c>
      <c r="G325">
        <f t="shared" si="24"/>
        <v>0.3916873491606041</v>
      </c>
      <c r="H325" s="1"/>
    </row>
    <row r="326" spans="1:8" x14ac:dyDescent="0.45">
      <c r="A326" s="1">
        <v>44718</v>
      </c>
      <c r="B326">
        <v>307.22000000000003</v>
      </c>
      <c r="C326">
        <f t="shared" si="25"/>
        <v>3.3311561071196483E-3</v>
      </c>
      <c r="D326">
        <f t="shared" si="26"/>
        <v>0.95564265273111926</v>
      </c>
      <c r="E326">
        <f t="shared" si="27"/>
        <v>1.2566567127037467</v>
      </c>
      <c r="F326">
        <f t="shared" si="28"/>
        <v>-0.23953563207010109</v>
      </c>
      <c r="G326">
        <f t="shared" si="24"/>
        <v>0.38965976374724487</v>
      </c>
      <c r="H326" s="1"/>
    </row>
    <row r="327" spans="1:8" x14ac:dyDescent="0.45">
      <c r="A327" s="1">
        <v>44719</v>
      </c>
      <c r="B327">
        <v>309.87</v>
      </c>
      <c r="C327">
        <f t="shared" si="25"/>
        <v>8.6257405116854091E-3</v>
      </c>
      <c r="D327">
        <f t="shared" si="26"/>
        <v>0.96388577827547661</v>
      </c>
      <c r="E327">
        <f t="shared" si="27"/>
        <v>1.2566567127037467</v>
      </c>
      <c r="F327">
        <f t="shared" si="28"/>
        <v>-0.23297606376395497</v>
      </c>
      <c r="G327">
        <f t="shared" si="24"/>
        <v>0.36201829529770801</v>
      </c>
      <c r="H327" s="1"/>
    </row>
    <row r="328" spans="1:8" x14ac:dyDescent="0.45">
      <c r="A328" s="1">
        <v>44720</v>
      </c>
      <c r="B328">
        <v>307.64</v>
      </c>
      <c r="C328">
        <f t="shared" si="25"/>
        <v>-7.19656630199772E-3</v>
      </c>
      <c r="D328">
        <f t="shared" si="26"/>
        <v>0.95694911036456443</v>
      </c>
      <c r="E328">
        <f t="shared" si="27"/>
        <v>1.2566567127037467</v>
      </c>
      <c r="F328">
        <f t="shared" si="28"/>
        <v>-0.23849600237629698</v>
      </c>
      <c r="G328">
        <f t="shared" si="24"/>
        <v>0.361583090531365</v>
      </c>
      <c r="H328" s="1"/>
    </row>
    <row r="329" spans="1:8" x14ac:dyDescent="0.45">
      <c r="A329" s="1">
        <v>44721</v>
      </c>
      <c r="B329">
        <v>299.39999999999998</v>
      </c>
      <c r="C329">
        <f t="shared" si="25"/>
        <v>-2.6784553374073594E-2</v>
      </c>
      <c r="D329">
        <f t="shared" si="26"/>
        <v>0.93131765584173254</v>
      </c>
      <c r="E329">
        <f t="shared" si="27"/>
        <v>1.2566567127037467</v>
      </c>
      <c r="F329">
        <f t="shared" si="28"/>
        <v>-0.25889254684521934</v>
      </c>
      <c r="G329">
        <f t="shared" si="24"/>
        <v>0.35844179025249062</v>
      </c>
      <c r="H329" s="1"/>
    </row>
    <row r="330" spans="1:8" x14ac:dyDescent="0.45">
      <c r="A330" s="1">
        <v>44722</v>
      </c>
      <c r="B330">
        <v>288.83999999999997</v>
      </c>
      <c r="C330">
        <f t="shared" si="25"/>
        <v>-3.5270541082164319E-2</v>
      </c>
      <c r="D330">
        <f t="shared" si="26"/>
        <v>0.89846957820082174</v>
      </c>
      <c r="E330">
        <f t="shared" si="27"/>
        <v>1.2566567127037467</v>
      </c>
      <c r="F330">
        <f t="shared" si="28"/>
        <v>-0.28503180771801329</v>
      </c>
      <c r="G330">
        <f t="shared" si="24"/>
        <v>0.38146656365495885</v>
      </c>
      <c r="H330" s="1"/>
    </row>
    <row r="331" spans="1:8" x14ac:dyDescent="0.45">
      <c r="A331" s="1">
        <v>44725</v>
      </c>
      <c r="B331">
        <v>275.41000000000003</v>
      </c>
      <c r="C331">
        <f t="shared" si="25"/>
        <v>-4.6496330148178777E-2</v>
      </c>
      <c r="D331">
        <f t="shared" si="26"/>
        <v>0.8566940400647014</v>
      </c>
      <c r="E331">
        <f t="shared" si="27"/>
        <v>1.2566567127037467</v>
      </c>
      <c r="F331">
        <f t="shared" si="28"/>
        <v>-0.31827520483180305</v>
      </c>
      <c r="G331">
        <f t="shared" si="24"/>
        <v>0.38867996560347562</v>
      </c>
      <c r="H331" s="1"/>
    </row>
    <row r="332" spans="1:8" x14ac:dyDescent="0.45">
      <c r="A332" s="1">
        <v>44726</v>
      </c>
      <c r="B332">
        <v>275.91000000000003</v>
      </c>
      <c r="C332">
        <f t="shared" si="25"/>
        <v>1.815475109836262E-3</v>
      </c>
      <c r="D332">
        <f t="shared" si="26"/>
        <v>0.85824934677118392</v>
      </c>
      <c r="E332">
        <f t="shared" si="27"/>
        <v>1.2566567127037467</v>
      </c>
      <c r="F332">
        <f t="shared" si="28"/>
        <v>-0.31703755043441695</v>
      </c>
      <c r="G332">
        <f t="shared" si="24"/>
        <v>0.38825763063493957</v>
      </c>
      <c r="H332" s="1"/>
    </row>
    <row r="333" spans="1:8" x14ac:dyDescent="0.45">
      <c r="A333" s="1">
        <v>44727</v>
      </c>
      <c r="B333">
        <v>282.8</v>
      </c>
      <c r="C333">
        <f t="shared" si="25"/>
        <v>2.4971911130440949E-2</v>
      </c>
      <c r="D333">
        <f t="shared" si="26"/>
        <v>0.87968147318651291</v>
      </c>
      <c r="E333">
        <f t="shared" si="27"/>
        <v>1.2566567127037467</v>
      </c>
      <c r="F333">
        <f t="shared" si="28"/>
        <v>-0.29998267283843705</v>
      </c>
      <c r="G333">
        <f t="shared" si="24"/>
        <v>0.38733290415824451</v>
      </c>
      <c r="H333" s="1"/>
    </row>
    <row r="334" spans="1:8" x14ac:dyDescent="0.45">
      <c r="A334" s="1">
        <v>44728</v>
      </c>
      <c r="B334">
        <v>271.39</v>
      </c>
      <c r="C334">
        <f t="shared" si="25"/>
        <v>-4.0346534653465382E-2</v>
      </c>
      <c r="D334">
        <f t="shared" si="26"/>
        <v>0.84418937414458184</v>
      </c>
      <c r="E334">
        <f t="shared" si="27"/>
        <v>1.2566567127037467</v>
      </c>
      <c r="F334">
        <f t="shared" si="28"/>
        <v>-0.32822594618678713</v>
      </c>
      <c r="G334">
        <f t="shared" si="24"/>
        <v>0.37477565794756462</v>
      </c>
      <c r="H334" s="1"/>
    </row>
    <row r="335" spans="1:8" x14ac:dyDescent="0.45">
      <c r="A335" s="1">
        <v>44729</v>
      </c>
      <c r="B335">
        <v>274.69</v>
      </c>
      <c r="C335">
        <f t="shared" si="25"/>
        <v>1.2159622683223459E-2</v>
      </c>
      <c r="D335">
        <f t="shared" si="26"/>
        <v>0.85445439840736648</v>
      </c>
      <c r="E335">
        <f t="shared" si="27"/>
        <v>1.2566567127037467</v>
      </c>
      <c r="F335">
        <f t="shared" si="28"/>
        <v>-0.32005742716403907</v>
      </c>
      <c r="G335">
        <f t="shared" si="24"/>
        <v>0.37860126573750308</v>
      </c>
      <c r="H335" s="1"/>
    </row>
    <row r="336" spans="1:8" x14ac:dyDescent="0.45">
      <c r="A336" s="1">
        <v>44733</v>
      </c>
      <c r="B336">
        <v>281.08</v>
      </c>
      <c r="C336">
        <f t="shared" si="25"/>
        <v>2.3262586916160011E-2</v>
      </c>
      <c r="D336">
        <f t="shared" si="26"/>
        <v>0.87433121811621306</v>
      </c>
      <c r="E336">
        <f t="shared" si="27"/>
        <v>1.2566567127037467</v>
      </c>
      <c r="F336">
        <f t="shared" si="28"/>
        <v>-0.30424020396544504</v>
      </c>
      <c r="G336">
        <f t="shared" si="24"/>
        <v>0.38933328252884059</v>
      </c>
      <c r="H336" s="1"/>
    </row>
    <row r="337" spans="1:8" x14ac:dyDescent="0.45">
      <c r="A337" s="1">
        <v>44734</v>
      </c>
      <c r="B337">
        <v>280.67</v>
      </c>
      <c r="C337">
        <f t="shared" si="25"/>
        <v>-1.4586594563824606E-3</v>
      </c>
      <c r="D337">
        <f t="shared" si="26"/>
        <v>0.87305586661689749</v>
      </c>
      <c r="E337">
        <f t="shared" si="27"/>
        <v>1.2566567127037467</v>
      </c>
      <c r="F337">
        <f t="shared" si="28"/>
        <v>-0.30525508057130157</v>
      </c>
      <c r="G337">
        <f t="shared" si="24"/>
        <v>0.38369702020699703</v>
      </c>
      <c r="H337" s="1"/>
    </row>
    <row r="338" spans="1:8" x14ac:dyDescent="0.45">
      <c r="A338" s="1">
        <v>44735</v>
      </c>
      <c r="B338">
        <v>284.85000000000002</v>
      </c>
      <c r="C338">
        <f t="shared" si="25"/>
        <v>1.4892934763245158E-2</v>
      </c>
      <c r="D338">
        <f t="shared" si="26"/>
        <v>0.88605823068309142</v>
      </c>
      <c r="E338">
        <f t="shared" si="27"/>
        <v>1.2566567127037467</v>
      </c>
      <c r="F338">
        <f t="shared" si="28"/>
        <v>-0.29490828980915396</v>
      </c>
      <c r="G338">
        <f t="shared" si="24"/>
        <v>0.38101441522881596</v>
      </c>
      <c r="H338" s="1"/>
    </row>
    <row r="339" spans="1:8" x14ac:dyDescent="0.45">
      <c r="A339" s="1">
        <v>44736</v>
      </c>
      <c r="B339">
        <v>294.61</v>
      </c>
      <c r="C339">
        <f t="shared" si="25"/>
        <v>3.4263647533789632E-2</v>
      </c>
      <c r="D339">
        <f t="shared" si="26"/>
        <v>0.91641781759363017</v>
      </c>
      <c r="E339">
        <f t="shared" si="27"/>
        <v>1.2566567127037467</v>
      </c>
      <c r="F339">
        <f t="shared" si="28"/>
        <v>-0.27074927597217779</v>
      </c>
      <c r="G339">
        <f t="shared" si="24"/>
        <v>0.3974277809438066</v>
      </c>
      <c r="H339" s="1"/>
    </row>
    <row r="340" spans="1:8" x14ac:dyDescent="0.45">
      <c r="A340" s="1">
        <v>44739</v>
      </c>
      <c r="B340">
        <v>292.45</v>
      </c>
      <c r="C340">
        <f t="shared" si="25"/>
        <v>-7.3317266895218669E-3</v>
      </c>
      <c r="D340">
        <f t="shared" si="26"/>
        <v>0.90969889262162562</v>
      </c>
      <c r="E340">
        <f t="shared" si="27"/>
        <v>1.2566567127037467</v>
      </c>
      <c r="F340">
        <f t="shared" si="28"/>
        <v>-0.27609594296888573</v>
      </c>
      <c r="G340">
        <f t="shared" si="24"/>
        <v>0.38532563035364115</v>
      </c>
      <c r="H340" s="1"/>
    </row>
    <row r="341" spans="1:8" x14ac:dyDescent="0.45">
      <c r="A341" s="1">
        <v>44740</v>
      </c>
      <c r="B341">
        <v>283.54000000000002</v>
      </c>
      <c r="C341">
        <f t="shared" si="25"/>
        <v>-3.0466746452384896E-2</v>
      </c>
      <c r="D341">
        <f t="shared" si="26"/>
        <v>0.88198332711210725</v>
      </c>
      <c r="E341">
        <f t="shared" si="27"/>
        <v>1.2566567127037467</v>
      </c>
      <c r="F341">
        <f t="shared" si="28"/>
        <v>-0.29815094433030542</v>
      </c>
      <c r="G341">
        <f t="shared" si="24"/>
        <v>0.37754833849559327</v>
      </c>
      <c r="H341" s="1"/>
    </row>
    <row r="342" spans="1:8" x14ac:dyDescent="0.45">
      <c r="A342" s="1">
        <v>44741</v>
      </c>
      <c r="B342">
        <v>283.8</v>
      </c>
      <c r="C342">
        <f t="shared" si="25"/>
        <v>9.169782041333896E-4</v>
      </c>
      <c r="D342">
        <f t="shared" si="26"/>
        <v>0.88279208659947805</v>
      </c>
      <c r="E342">
        <f t="shared" si="27"/>
        <v>1.2566567127037467</v>
      </c>
      <c r="F342">
        <f t="shared" si="28"/>
        <v>-0.29750736404366473</v>
      </c>
      <c r="G342">
        <f t="shared" ref="G342:G405" si="29">_xlfn.STDEV.S(C323:C342)*SQRT(252)</f>
        <v>0.37793419179415083</v>
      </c>
      <c r="H342" s="1"/>
    </row>
    <row r="343" spans="1:8" x14ac:dyDescent="0.45">
      <c r="A343" s="1">
        <v>44742</v>
      </c>
      <c r="B343">
        <v>280.27999999999997</v>
      </c>
      <c r="C343">
        <f t="shared" si="25"/>
        <v>-1.2403100775193909E-2</v>
      </c>
      <c r="D343">
        <f t="shared" si="26"/>
        <v>0.87184272738584101</v>
      </c>
      <c r="E343">
        <f t="shared" si="27"/>
        <v>1.2566567127037467</v>
      </c>
      <c r="F343">
        <f t="shared" si="28"/>
        <v>-0.30622045100126283</v>
      </c>
      <c r="G343">
        <f t="shared" si="29"/>
        <v>0.37897255918707745</v>
      </c>
      <c r="H343" s="1"/>
    </row>
    <row r="344" spans="1:8" x14ac:dyDescent="0.45">
      <c r="A344" s="1">
        <v>44743</v>
      </c>
      <c r="B344">
        <v>282.13</v>
      </c>
      <c r="C344">
        <f t="shared" si="25"/>
        <v>6.6005423148280951E-3</v>
      </c>
      <c r="D344">
        <f t="shared" si="26"/>
        <v>0.87759736219982643</v>
      </c>
      <c r="E344">
        <f t="shared" si="27"/>
        <v>1.2566567127037467</v>
      </c>
      <c r="F344">
        <f t="shared" si="28"/>
        <v>-0.30164112973093427</v>
      </c>
      <c r="G344">
        <f t="shared" si="29"/>
        <v>0.36290481511973255</v>
      </c>
      <c r="H344" s="1"/>
    </row>
    <row r="345" spans="1:8" x14ac:dyDescent="0.45">
      <c r="A345" s="1">
        <v>44747</v>
      </c>
      <c r="B345">
        <v>286.95999999999998</v>
      </c>
      <c r="C345">
        <f t="shared" si="25"/>
        <v>1.7119767483075199E-2</v>
      </c>
      <c r="D345">
        <f t="shared" si="26"/>
        <v>0.89262162498444753</v>
      </c>
      <c r="E345">
        <f t="shared" si="27"/>
        <v>1.2566567127037467</v>
      </c>
      <c r="F345">
        <f t="shared" si="28"/>
        <v>-0.28968538825218482</v>
      </c>
      <c r="G345">
        <f t="shared" si="29"/>
        <v>0.36230260049281882</v>
      </c>
      <c r="H345" s="1"/>
    </row>
    <row r="346" spans="1:8" x14ac:dyDescent="0.45">
      <c r="A346" s="1">
        <v>44748</v>
      </c>
      <c r="B346">
        <v>288.8</v>
      </c>
      <c r="C346">
        <f t="shared" si="25"/>
        <v>6.4120434903820467E-3</v>
      </c>
      <c r="D346">
        <f t="shared" si="26"/>
        <v>0.89834515366430334</v>
      </c>
      <c r="E346">
        <f t="shared" si="27"/>
        <v>1.2566567127037467</v>
      </c>
      <c r="F346">
        <f t="shared" si="28"/>
        <v>-0.28513082006980395</v>
      </c>
      <c r="G346">
        <f t="shared" si="29"/>
        <v>0.36317949123258125</v>
      </c>
      <c r="H346" s="1"/>
    </row>
    <row r="347" spans="1:8" x14ac:dyDescent="0.45">
      <c r="A347" s="1">
        <v>44749</v>
      </c>
      <c r="B347">
        <v>294.98</v>
      </c>
      <c r="C347">
        <f t="shared" si="25"/>
        <v>2.1398891966758926E-2</v>
      </c>
      <c r="D347">
        <f t="shared" si="26"/>
        <v>0.91756874455642723</v>
      </c>
      <c r="E347">
        <f t="shared" si="27"/>
        <v>1.2566567127037467</v>
      </c>
      <c r="F347">
        <f t="shared" si="28"/>
        <v>-0.26983341171811215</v>
      </c>
      <c r="G347">
        <f t="shared" si="29"/>
        <v>0.37126605811212093</v>
      </c>
      <c r="H347" s="1"/>
    </row>
    <row r="348" spans="1:8" x14ac:dyDescent="0.45">
      <c r="A348" s="1">
        <v>44750</v>
      </c>
      <c r="B348">
        <v>295.35000000000002</v>
      </c>
      <c r="C348">
        <f t="shared" si="25"/>
        <v>1.2543223269374515E-3</v>
      </c>
      <c r="D348">
        <f t="shared" si="26"/>
        <v>0.91871967151922429</v>
      </c>
      <c r="E348">
        <f t="shared" si="27"/>
        <v>1.2566567127037467</v>
      </c>
      <c r="F348">
        <f t="shared" si="28"/>
        <v>-0.2689175474640465</v>
      </c>
      <c r="G348">
        <f t="shared" si="29"/>
        <v>0.37096845306045501</v>
      </c>
      <c r="H348" s="1"/>
    </row>
    <row r="349" spans="1:8" x14ac:dyDescent="0.45">
      <c r="A349" s="1">
        <v>44753</v>
      </c>
      <c r="B349">
        <v>289.04000000000002</v>
      </c>
      <c r="C349">
        <f t="shared" si="25"/>
        <v>-2.1364482816996766E-2</v>
      </c>
      <c r="D349">
        <f t="shared" si="26"/>
        <v>0.89909170088341495</v>
      </c>
      <c r="E349">
        <f t="shared" si="27"/>
        <v>1.2566567127037467</v>
      </c>
      <c r="F349">
        <f t="shared" si="28"/>
        <v>-0.28453674595905865</v>
      </c>
      <c r="G349">
        <f t="shared" si="29"/>
        <v>0.36659505401051201</v>
      </c>
      <c r="H349" s="1"/>
    </row>
    <row r="350" spans="1:8" x14ac:dyDescent="0.45">
      <c r="A350" s="1">
        <v>44754</v>
      </c>
      <c r="B350">
        <v>286.24</v>
      </c>
      <c r="C350">
        <f t="shared" si="25"/>
        <v>-9.6872405203431988E-3</v>
      </c>
      <c r="D350">
        <f t="shared" si="26"/>
        <v>0.89038198332711282</v>
      </c>
      <c r="E350">
        <f t="shared" si="27"/>
        <v>1.2566567127037467</v>
      </c>
      <c r="F350">
        <f t="shared" si="28"/>
        <v>-0.29146761058442072</v>
      </c>
      <c r="G350">
        <f t="shared" si="29"/>
        <v>0.34601059018983366</v>
      </c>
      <c r="H350" s="1"/>
    </row>
    <row r="351" spans="1:8" x14ac:dyDescent="0.45">
      <c r="A351" s="1">
        <v>44755</v>
      </c>
      <c r="B351">
        <v>285.64999999999998</v>
      </c>
      <c r="C351">
        <f t="shared" si="25"/>
        <v>-2.0612073784238572E-3</v>
      </c>
      <c r="D351">
        <f t="shared" si="26"/>
        <v>0.88854672141346336</v>
      </c>
      <c r="E351">
        <f t="shared" si="27"/>
        <v>1.2566567127037467</v>
      </c>
      <c r="F351">
        <f t="shared" si="28"/>
        <v>-0.29292804277333628</v>
      </c>
      <c r="G351">
        <f t="shared" si="29"/>
        <v>0.30010154527884997</v>
      </c>
      <c r="H351" s="1"/>
    </row>
    <row r="352" spans="1:8" x14ac:dyDescent="0.45">
      <c r="A352" s="1">
        <v>44756</v>
      </c>
      <c r="B352">
        <v>286.67</v>
      </c>
      <c r="C352">
        <f t="shared" si="25"/>
        <v>3.5708034307719849E-3</v>
      </c>
      <c r="D352">
        <f t="shared" si="26"/>
        <v>0.8917195470946877</v>
      </c>
      <c r="E352">
        <f t="shared" si="27"/>
        <v>1.2566567127037467</v>
      </c>
      <c r="F352">
        <f t="shared" si="28"/>
        <v>-0.2904032278026687</v>
      </c>
      <c r="G352">
        <f t="shared" si="29"/>
        <v>0.30015210655665014</v>
      </c>
      <c r="H352" s="1"/>
    </row>
    <row r="353" spans="1:8" x14ac:dyDescent="0.45">
      <c r="A353" s="1">
        <v>44757</v>
      </c>
      <c r="B353">
        <v>291.87</v>
      </c>
      <c r="C353">
        <f t="shared" si="25"/>
        <v>1.8139323961349207E-2</v>
      </c>
      <c r="D353">
        <f t="shared" si="26"/>
        <v>0.90789473684210587</v>
      </c>
      <c r="E353">
        <f t="shared" si="27"/>
        <v>1.2566567127037467</v>
      </c>
      <c r="F353">
        <f t="shared" si="28"/>
        <v>-0.2775316220698536</v>
      </c>
      <c r="G353">
        <f t="shared" si="29"/>
        <v>0.29416228047540471</v>
      </c>
      <c r="H353" s="1"/>
    </row>
    <row r="354" spans="1:8" x14ac:dyDescent="0.45">
      <c r="A354" s="1">
        <v>44760</v>
      </c>
      <c r="B354">
        <v>289.39999999999998</v>
      </c>
      <c r="C354">
        <f t="shared" si="25"/>
        <v>-8.4626717374174376E-3</v>
      </c>
      <c r="D354">
        <f t="shared" si="26"/>
        <v>0.90021152171208219</v>
      </c>
      <c r="E354">
        <f t="shared" si="27"/>
        <v>1.2566567127037467</v>
      </c>
      <c r="F354">
        <f t="shared" si="28"/>
        <v>-0.2836456347929408</v>
      </c>
      <c r="G354">
        <f t="shared" si="29"/>
        <v>0.25247210190668057</v>
      </c>
      <c r="H354" s="1"/>
    </row>
    <row r="355" spans="1:8" x14ac:dyDescent="0.45">
      <c r="A355" s="1">
        <v>44761</v>
      </c>
      <c r="B355">
        <v>298.3</v>
      </c>
      <c r="C355">
        <f t="shared" si="25"/>
        <v>3.0753282653766423E-2</v>
      </c>
      <c r="D355">
        <f t="shared" si="26"/>
        <v>0.92789598108747107</v>
      </c>
      <c r="E355">
        <f t="shared" si="27"/>
        <v>1.2566567127037467</v>
      </c>
      <c r="F355">
        <f t="shared" si="28"/>
        <v>-0.2616153865194687</v>
      </c>
      <c r="G355">
        <f t="shared" si="29"/>
        <v>0.26916427513623742</v>
      </c>
      <c r="H355" s="1"/>
    </row>
    <row r="356" spans="1:8" x14ac:dyDescent="0.45">
      <c r="A356" s="1">
        <v>44762</v>
      </c>
      <c r="B356">
        <v>303.02999999999997</v>
      </c>
      <c r="C356">
        <f t="shared" si="25"/>
        <v>1.5856520281595676E-2</v>
      </c>
      <c r="D356">
        <f t="shared" si="26"/>
        <v>0.94260918253079562</v>
      </c>
      <c r="E356">
        <f t="shared" si="27"/>
        <v>1.2566567127037467</v>
      </c>
      <c r="F356">
        <f t="shared" si="28"/>
        <v>-0.24990717592019651</v>
      </c>
      <c r="G356">
        <f t="shared" si="29"/>
        <v>0.26345552834743841</v>
      </c>
      <c r="H356" s="1"/>
    </row>
    <row r="357" spans="1:8" x14ac:dyDescent="0.45">
      <c r="A357" s="1">
        <v>44763</v>
      </c>
      <c r="B357">
        <v>307.38</v>
      </c>
      <c r="C357">
        <f t="shared" si="25"/>
        <v>1.4355014355014406E-2</v>
      </c>
      <c r="D357">
        <f t="shared" si="26"/>
        <v>0.95614035087719362</v>
      </c>
      <c r="E357">
        <f t="shared" si="27"/>
        <v>1.2566567127037467</v>
      </c>
      <c r="F357">
        <f t="shared" si="28"/>
        <v>-0.23913958266293756</v>
      </c>
      <c r="G357">
        <f t="shared" si="29"/>
        <v>0.26516612627458991</v>
      </c>
      <c r="H357" s="1"/>
    </row>
    <row r="358" spans="1:8" x14ac:dyDescent="0.45">
      <c r="A358" s="1">
        <v>44764</v>
      </c>
      <c r="B358">
        <v>301.99</v>
      </c>
      <c r="C358">
        <f t="shared" si="25"/>
        <v>-1.7535298327802651E-2</v>
      </c>
      <c r="D358">
        <f t="shared" si="26"/>
        <v>0.93937414458131208</v>
      </c>
      <c r="E358">
        <f t="shared" si="27"/>
        <v>1.2566567127037467</v>
      </c>
      <c r="F358">
        <f t="shared" si="28"/>
        <v>-0.25248149706675949</v>
      </c>
      <c r="G358">
        <f t="shared" si="29"/>
        <v>0.27346787401623041</v>
      </c>
      <c r="H358" s="1"/>
    </row>
    <row r="359" spans="1:8" x14ac:dyDescent="0.45">
      <c r="A359" s="1">
        <v>44767</v>
      </c>
      <c r="B359">
        <v>300.27</v>
      </c>
      <c r="C359">
        <f t="shared" si="25"/>
        <v>-5.6955528328753724E-3</v>
      </c>
      <c r="D359">
        <f t="shared" si="26"/>
        <v>0.93402388951101212</v>
      </c>
      <c r="E359">
        <f t="shared" si="27"/>
        <v>1.2566567127037467</v>
      </c>
      <c r="F359">
        <f t="shared" si="28"/>
        <v>-0.25673902819376759</v>
      </c>
      <c r="G359">
        <f t="shared" si="29"/>
        <v>0.24866734863997267</v>
      </c>
      <c r="H359" s="1"/>
    </row>
    <row r="360" spans="1:8" x14ac:dyDescent="0.45">
      <c r="A360" s="1">
        <v>44768</v>
      </c>
      <c r="B360">
        <v>294.37</v>
      </c>
      <c r="C360">
        <f t="shared" si="25"/>
        <v>-1.9648982582342489E-2</v>
      </c>
      <c r="D360">
        <f t="shared" si="26"/>
        <v>0.91567127037451845</v>
      </c>
      <c r="E360">
        <f t="shared" si="27"/>
        <v>1.2566567127037467</v>
      </c>
      <c r="F360">
        <f t="shared" si="28"/>
        <v>-0.27134335008292321</v>
      </c>
      <c r="G360">
        <f t="shared" si="29"/>
        <v>0.25785977950123362</v>
      </c>
      <c r="H360" s="1"/>
    </row>
    <row r="361" spans="1:8" x14ac:dyDescent="0.45">
      <c r="A361" s="1">
        <v>44769</v>
      </c>
      <c r="B361">
        <v>306.81</v>
      </c>
      <c r="C361">
        <f t="shared" si="25"/>
        <v>4.225974114209996E-2</v>
      </c>
      <c r="D361">
        <f t="shared" si="26"/>
        <v>0.95436730123180347</v>
      </c>
      <c r="E361">
        <f t="shared" si="27"/>
        <v>1.2566567127037467</v>
      </c>
      <c r="F361">
        <f t="shared" si="28"/>
        <v>-0.24055050867595784</v>
      </c>
      <c r="G361">
        <f t="shared" si="29"/>
        <v>0.27108354816879371</v>
      </c>
      <c r="H361" s="1"/>
    </row>
    <row r="362" spans="1:8" x14ac:dyDescent="0.45">
      <c r="A362" s="1">
        <v>44770</v>
      </c>
      <c r="B362">
        <v>309.81</v>
      </c>
      <c r="C362">
        <f t="shared" si="25"/>
        <v>9.7780385254717661E-3</v>
      </c>
      <c r="D362">
        <f t="shared" si="26"/>
        <v>0.96369914147069857</v>
      </c>
      <c r="E362">
        <f t="shared" si="27"/>
        <v>1.2566567127037467</v>
      </c>
      <c r="F362">
        <f t="shared" si="28"/>
        <v>-0.23312458229164135</v>
      </c>
      <c r="G362">
        <f t="shared" si="29"/>
        <v>0.27153277766479916</v>
      </c>
      <c r="H362" s="1"/>
    </row>
    <row r="363" spans="1:8" x14ac:dyDescent="0.45">
      <c r="A363" s="1">
        <v>44771</v>
      </c>
      <c r="B363">
        <v>315.45999999999998</v>
      </c>
      <c r="C363">
        <f t="shared" si="25"/>
        <v>1.8236983957909514E-2</v>
      </c>
      <c r="D363">
        <f t="shared" si="26"/>
        <v>0.98127410725395092</v>
      </c>
      <c r="E363">
        <f t="shared" si="27"/>
        <v>1.2566567127037467</v>
      </c>
      <c r="F363">
        <f t="shared" si="28"/>
        <v>-0.21913908760117884</v>
      </c>
      <c r="G363">
        <f t="shared" si="29"/>
        <v>0.26794553207767907</v>
      </c>
      <c r="H363" s="1"/>
    </row>
    <row r="364" spans="1:8" x14ac:dyDescent="0.45">
      <c r="A364" s="1">
        <v>44774</v>
      </c>
      <c r="B364">
        <v>315.27</v>
      </c>
      <c r="C364">
        <f t="shared" si="25"/>
        <v>-6.0229506118048004E-4</v>
      </c>
      <c r="D364">
        <f t="shared" si="26"/>
        <v>0.98068309070548754</v>
      </c>
      <c r="E364">
        <f t="shared" si="27"/>
        <v>1.2566567127037467</v>
      </c>
      <c r="F364">
        <f t="shared" si="28"/>
        <v>-0.21960939627218556</v>
      </c>
      <c r="G364">
        <f t="shared" si="29"/>
        <v>0.26897210120501797</v>
      </c>
      <c r="H364" s="1"/>
    </row>
    <row r="365" spans="1:8" x14ac:dyDescent="0.45">
      <c r="A365" s="1">
        <v>44775</v>
      </c>
      <c r="B365">
        <v>314.33</v>
      </c>
      <c r="C365">
        <f t="shared" si="25"/>
        <v>-2.98157135153998E-3</v>
      </c>
      <c r="D365">
        <f t="shared" si="26"/>
        <v>0.97775911409730032</v>
      </c>
      <c r="E365">
        <f t="shared" si="27"/>
        <v>1.2566567127037467</v>
      </c>
      <c r="F365">
        <f t="shared" si="28"/>
        <v>-0.22193618653927139</v>
      </c>
      <c r="G365">
        <f t="shared" si="29"/>
        <v>0.26711432601373586</v>
      </c>
      <c r="H365" s="1"/>
    </row>
    <row r="366" spans="1:8" x14ac:dyDescent="0.45">
      <c r="A366" s="1">
        <v>44776</v>
      </c>
      <c r="B366">
        <v>322.89</v>
      </c>
      <c r="C366">
        <f t="shared" si="25"/>
        <v>2.7232526325835948E-2</v>
      </c>
      <c r="D366">
        <f t="shared" si="26"/>
        <v>1.004385964912281</v>
      </c>
      <c r="E366">
        <f t="shared" si="27"/>
        <v>1.2566567127037467</v>
      </c>
      <c r="F366">
        <f t="shared" si="28"/>
        <v>-0.20074754325602184</v>
      </c>
      <c r="G366">
        <f t="shared" si="29"/>
        <v>0.2788517284774209</v>
      </c>
      <c r="H366" s="1"/>
    </row>
    <row r="367" spans="1:8" x14ac:dyDescent="0.45">
      <c r="A367" s="1">
        <v>44777</v>
      </c>
      <c r="B367">
        <v>324.39999999999998</v>
      </c>
      <c r="C367">
        <f t="shared" si="25"/>
        <v>4.6765152219021555E-3</v>
      </c>
      <c r="D367">
        <f t="shared" si="26"/>
        <v>1.0090829911658583</v>
      </c>
      <c r="E367">
        <f t="shared" si="27"/>
        <v>1.2566567127037467</v>
      </c>
      <c r="F367">
        <f t="shared" si="28"/>
        <v>-0.19700982697591585</v>
      </c>
      <c r="G367">
        <f t="shared" si="29"/>
        <v>0.27264559292561991</v>
      </c>
      <c r="H367" s="1"/>
    </row>
    <row r="368" spans="1:8" x14ac:dyDescent="0.45">
      <c r="A368" s="1">
        <v>44778</v>
      </c>
      <c r="B368">
        <v>321.75</v>
      </c>
      <c r="C368">
        <f t="shared" si="25"/>
        <v>-8.1689272503081556E-3</v>
      </c>
      <c r="D368">
        <f t="shared" si="26"/>
        <v>1.0008398656215012</v>
      </c>
      <c r="E368">
        <f t="shared" si="27"/>
        <v>1.2566567127037467</v>
      </c>
      <c r="F368">
        <f t="shared" si="28"/>
        <v>-0.20356939528206186</v>
      </c>
      <c r="G368">
        <f t="shared" si="29"/>
        <v>0.27634521891365477</v>
      </c>
      <c r="H368" s="1"/>
    </row>
    <row r="369" spans="1:8" x14ac:dyDescent="0.45">
      <c r="A369" s="1">
        <v>44781</v>
      </c>
      <c r="B369">
        <v>320.70999999999998</v>
      </c>
      <c r="C369">
        <f t="shared" si="25"/>
        <v>-3.2323232323232531E-3</v>
      </c>
      <c r="D369">
        <f t="shared" si="26"/>
        <v>0.99760482767201752</v>
      </c>
      <c r="E369">
        <f t="shared" si="27"/>
        <v>1.2566567127037467</v>
      </c>
      <c r="F369">
        <f t="shared" si="28"/>
        <v>-0.20614371642862495</v>
      </c>
      <c r="G369">
        <f t="shared" si="29"/>
        <v>0.26096248405660916</v>
      </c>
      <c r="H369" s="1"/>
    </row>
    <row r="370" spans="1:8" x14ac:dyDescent="0.45">
      <c r="A370" s="1">
        <v>44782</v>
      </c>
      <c r="B370">
        <v>317.08</v>
      </c>
      <c r="C370">
        <f t="shared" si="25"/>
        <v>-1.1318636774656166E-2</v>
      </c>
      <c r="D370">
        <f t="shared" si="26"/>
        <v>0.98631330098295455</v>
      </c>
      <c r="E370">
        <f t="shared" si="27"/>
        <v>1.2566567127037467</v>
      </c>
      <c r="F370">
        <f t="shared" si="28"/>
        <v>-0.21512908735364777</v>
      </c>
      <c r="G370">
        <f t="shared" si="29"/>
        <v>0.26226936103950677</v>
      </c>
      <c r="H370" s="1"/>
    </row>
    <row r="371" spans="1:8" x14ac:dyDescent="0.45">
      <c r="A371" s="1">
        <v>44783</v>
      </c>
      <c r="B371">
        <v>325.93</v>
      </c>
      <c r="C371">
        <f t="shared" si="25"/>
        <v>2.7910937302888961E-2</v>
      </c>
      <c r="D371">
        <f t="shared" si="26"/>
        <v>1.0138422296876952</v>
      </c>
      <c r="E371">
        <f t="shared" si="27"/>
        <v>1.2566567127037467</v>
      </c>
      <c r="F371">
        <f t="shared" si="28"/>
        <v>-0.19322260451991413</v>
      </c>
      <c r="G371">
        <f t="shared" si="29"/>
        <v>0.27255343581199709</v>
      </c>
      <c r="H371" s="1"/>
    </row>
    <row r="372" spans="1:8" x14ac:dyDescent="0.45">
      <c r="A372" s="1">
        <v>44784</v>
      </c>
      <c r="B372">
        <v>324.08</v>
      </c>
      <c r="C372">
        <f t="shared" si="25"/>
        <v>-5.6760654128187316E-3</v>
      </c>
      <c r="D372">
        <f t="shared" si="26"/>
        <v>1.0080875948737098</v>
      </c>
      <c r="E372">
        <f t="shared" si="27"/>
        <v>1.2566567127037467</v>
      </c>
      <c r="F372">
        <f t="shared" si="28"/>
        <v>-0.19780192579024269</v>
      </c>
      <c r="G372">
        <f t="shared" si="29"/>
        <v>0.27594212665457007</v>
      </c>
      <c r="H372" s="1"/>
    </row>
    <row r="373" spans="1:8" x14ac:dyDescent="0.45">
      <c r="A373" s="1">
        <v>44785</v>
      </c>
      <c r="B373">
        <v>330.39</v>
      </c>
      <c r="C373">
        <f t="shared" si="25"/>
        <v>1.9470501110836924E-2</v>
      </c>
      <c r="D373">
        <f t="shared" si="26"/>
        <v>1.0277155655095194</v>
      </c>
      <c r="E373">
        <f t="shared" si="27"/>
        <v>1.2566567127037467</v>
      </c>
      <c r="F373">
        <f t="shared" si="28"/>
        <v>-0.18218272729523033</v>
      </c>
      <c r="G373">
        <f t="shared" si="29"/>
        <v>0.27673934279977624</v>
      </c>
      <c r="H373" s="1"/>
    </row>
    <row r="374" spans="1:8" x14ac:dyDescent="0.45">
      <c r="A374" s="1">
        <v>44788</v>
      </c>
      <c r="B374">
        <v>333.06</v>
      </c>
      <c r="C374">
        <f t="shared" si="25"/>
        <v>8.0813583946246492E-3</v>
      </c>
      <c r="D374">
        <f t="shared" si="26"/>
        <v>1.0360209033221361</v>
      </c>
      <c r="E374">
        <f t="shared" si="27"/>
        <v>1.2566567127037467</v>
      </c>
      <c r="F374">
        <f t="shared" si="28"/>
        <v>-0.1755736528131886</v>
      </c>
      <c r="G374">
        <f t="shared" si="29"/>
        <v>0.2711608648588541</v>
      </c>
      <c r="H374" s="1"/>
    </row>
    <row r="375" spans="1:8" x14ac:dyDescent="0.45">
      <c r="A375" s="1">
        <v>44789</v>
      </c>
      <c r="B375">
        <v>332.28</v>
      </c>
      <c r="C375">
        <f t="shared" si="25"/>
        <v>-2.3419203747073736E-3</v>
      </c>
      <c r="D375">
        <f t="shared" si="26"/>
        <v>1.0335946248600234</v>
      </c>
      <c r="E375">
        <f t="shared" si="27"/>
        <v>1.2566567127037467</v>
      </c>
      <c r="F375">
        <f t="shared" si="28"/>
        <v>-0.17750439367311088</v>
      </c>
      <c r="G375">
        <f t="shared" si="29"/>
        <v>0.25814864432735662</v>
      </c>
      <c r="H375" s="1"/>
    </row>
    <row r="376" spans="1:8" x14ac:dyDescent="0.45">
      <c r="A376" s="1">
        <v>44790</v>
      </c>
      <c r="B376">
        <v>328.49</v>
      </c>
      <c r="C376">
        <f t="shared" si="25"/>
        <v>-1.1406043096183871E-2</v>
      </c>
      <c r="D376">
        <f t="shared" si="26"/>
        <v>1.021805400024886</v>
      </c>
      <c r="E376">
        <f t="shared" si="27"/>
        <v>1.2566567127037467</v>
      </c>
      <c r="F376">
        <f t="shared" si="28"/>
        <v>-0.18688581400529725</v>
      </c>
      <c r="G376">
        <f t="shared" si="29"/>
        <v>0.26180106858835223</v>
      </c>
      <c r="H376" s="1"/>
    </row>
    <row r="377" spans="1:8" x14ac:dyDescent="0.45">
      <c r="A377" s="1">
        <v>44791</v>
      </c>
      <c r="B377">
        <v>329.28</v>
      </c>
      <c r="C377">
        <f t="shared" si="25"/>
        <v>2.4049438339066587E-3</v>
      </c>
      <c r="D377">
        <f t="shared" si="26"/>
        <v>1.0242627846211283</v>
      </c>
      <c r="E377">
        <f t="shared" si="27"/>
        <v>1.2566567127037467</v>
      </c>
      <c r="F377">
        <f t="shared" si="28"/>
        <v>-0.18493032005742738</v>
      </c>
      <c r="G377">
        <f t="shared" si="29"/>
        <v>0.25905689676479676</v>
      </c>
      <c r="H377" s="1"/>
    </row>
    <row r="378" spans="1:8" x14ac:dyDescent="0.45">
      <c r="A378" s="1">
        <v>44792</v>
      </c>
      <c r="B378">
        <v>322.86</v>
      </c>
      <c r="C378">
        <f t="shared" si="25"/>
        <v>-1.9497084548104837E-2</v>
      </c>
      <c r="D378">
        <f t="shared" si="26"/>
        <v>1.0042926465098929</v>
      </c>
      <c r="E378">
        <f t="shared" si="27"/>
        <v>1.2566567127037467</v>
      </c>
      <c r="F378">
        <f t="shared" si="28"/>
        <v>-0.20082180251986437</v>
      </c>
      <c r="G378">
        <f t="shared" si="29"/>
        <v>0.26126113427200148</v>
      </c>
      <c r="H378" s="1"/>
    </row>
    <row r="379" spans="1:8" x14ac:dyDescent="0.45">
      <c r="A379" s="1">
        <v>44795</v>
      </c>
      <c r="B379">
        <v>314.36</v>
      </c>
      <c r="C379">
        <f t="shared" si="25"/>
        <v>-2.6327200644242099E-2</v>
      </c>
      <c r="D379">
        <f t="shared" si="26"/>
        <v>0.97785243249969012</v>
      </c>
      <c r="E379">
        <f t="shared" si="27"/>
        <v>1.2566567127037467</v>
      </c>
      <c r="F379">
        <f t="shared" si="28"/>
        <v>-0.22186192727542764</v>
      </c>
      <c r="G379">
        <f t="shared" si="29"/>
        <v>0.2804267179758681</v>
      </c>
      <c r="H379" s="1"/>
    </row>
    <row r="380" spans="1:8" x14ac:dyDescent="0.45">
      <c r="A380" s="1">
        <v>44796</v>
      </c>
      <c r="B380">
        <v>314.10000000000002</v>
      </c>
      <c r="C380">
        <f t="shared" si="25"/>
        <v>-8.2707723628960839E-4</v>
      </c>
      <c r="D380">
        <f t="shared" si="26"/>
        <v>0.9770436730123192</v>
      </c>
      <c r="E380">
        <f t="shared" si="27"/>
        <v>1.2566567127037467</v>
      </c>
      <c r="F380">
        <f t="shared" si="28"/>
        <v>-0.22250550756206833</v>
      </c>
      <c r="G380">
        <f t="shared" si="29"/>
        <v>0.26846436813664354</v>
      </c>
      <c r="H380" s="1"/>
    </row>
    <row r="381" spans="1:8" x14ac:dyDescent="0.45">
      <c r="A381" s="1">
        <v>44797</v>
      </c>
      <c r="B381">
        <v>315.01</v>
      </c>
      <c r="C381">
        <f t="shared" si="25"/>
        <v>2.8971665074815078E-3</v>
      </c>
      <c r="D381">
        <f t="shared" si="26"/>
        <v>0.97987433121811718</v>
      </c>
      <c r="E381">
        <f t="shared" si="27"/>
        <v>1.2566567127037467</v>
      </c>
      <c r="F381">
        <f t="shared" si="28"/>
        <v>-0.22025297655882592</v>
      </c>
      <c r="G381">
        <f t="shared" si="29"/>
        <v>0.22583941156054016</v>
      </c>
      <c r="H381" s="1"/>
    </row>
    <row r="382" spans="1:8" x14ac:dyDescent="0.45">
      <c r="A382" s="1">
        <v>44798</v>
      </c>
      <c r="B382">
        <v>320.58</v>
      </c>
      <c r="C382">
        <f t="shared" si="25"/>
        <v>1.7681978349893601E-2</v>
      </c>
      <c r="D382">
        <f t="shared" si="26"/>
        <v>0.9972004479283324</v>
      </c>
      <c r="E382">
        <f t="shared" si="27"/>
        <v>1.2566567127037467</v>
      </c>
      <c r="F382">
        <f t="shared" si="28"/>
        <v>-0.20646550657194507</v>
      </c>
      <c r="G382">
        <f t="shared" si="29"/>
        <v>0.23139555332943429</v>
      </c>
      <c r="H382" s="1"/>
    </row>
    <row r="383" spans="1:8" x14ac:dyDescent="0.45">
      <c r="A383" s="1">
        <v>44799</v>
      </c>
      <c r="B383">
        <v>307.44</v>
      </c>
      <c r="C383">
        <f t="shared" si="25"/>
        <v>-4.0988208871420517E-2</v>
      </c>
      <c r="D383">
        <f t="shared" si="26"/>
        <v>0.95632698768197177</v>
      </c>
      <c r="E383">
        <f t="shared" si="27"/>
        <v>1.2566567127037467</v>
      </c>
      <c r="F383">
        <f t="shared" si="28"/>
        <v>-0.23899106413525106</v>
      </c>
      <c r="G383">
        <f t="shared" si="29"/>
        <v>0.26820480505243838</v>
      </c>
      <c r="H383" s="1"/>
    </row>
    <row r="384" spans="1:8" x14ac:dyDescent="0.45">
      <c r="A384" s="1">
        <v>44802</v>
      </c>
      <c r="B384">
        <v>304.41000000000003</v>
      </c>
      <c r="C384">
        <f t="shared" si="25"/>
        <v>-9.8555815768929245E-3</v>
      </c>
      <c r="D384">
        <f t="shared" si="26"/>
        <v>0.94690182904068787</v>
      </c>
      <c r="E384">
        <f t="shared" si="27"/>
        <v>1.2566567127037467</v>
      </c>
      <c r="F384">
        <f t="shared" si="28"/>
        <v>-0.24649124978341053</v>
      </c>
      <c r="G384">
        <f t="shared" si="29"/>
        <v>0.26995942971666853</v>
      </c>
      <c r="H384" s="1"/>
    </row>
    <row r="385" spans="1:8" x14ac:dyDescent="0.45">
      <c r="A385" s="1">
        <v>44803</v>
      </c>
      <c r="B385">
        <v>301.02</v>
      </c>
      <c r="C385">
        <f t="shared" si="25"/>
        <v>-1.113629644229841E-2</v>
      </c>
      <c r="D385">
        <f t="shared" si="26"/>
        <v>0.93635684957073617</v>
      </c>
      <c r="E385">
        <f t="shared" si="27"/>
        <v>1.2566567127037467</v>
      </c>
      <c r="F385">
        <f t="shared" si="28"/>
        <v>-0.25488254659768828</v>
      </c>
      <c r="G385">
        <f t="shared" si="29"/>
        <v>0.27205142747507843</v>
      </c>
      <c r="H385" s="1"/>
    </row>
    <row r="386" spans="1:8" x14ac:dyDescent="0.45">
      <c r="A386" s="1">
        <v>44804</v>
      </c>
      <c r="B386">
        <v>299.27</v>
      </c>
      <c r="C386">
        <f t="shared" si="25"/>
        <v>-5.8135672048368336E-3</v>
      </c>
      <c r="D386">
        <f t="shared" si="26"/>
        <v>0.93091327609804742</v>
      </c>
      <c r="E386">
        <f t="shared" si="27"/>
        <v>1.2566567127037467</v>
      </c>
      <c r="F386">
        <f t="shared" si="28"/>
        <v>-0.25921433698853946</v>
      </c>
      <c r="G386">
        <f t="shared" si="29"/>
        <v>0.24925565342846595</v>
      </c>
      <c r="H386" s="1"/>
    </row>
    <row r="387" spans="1:8" x14ac:dyDescent="0.45">
      <c r="A387" s="1">
        <v>44805</v>
      </c>
      <c r="B387">
        <v>299.39999999999998</v>
      </c>
      <c r="C387">
        <f t="shared" si="25"/>
        <v>4.3439034985137681E-4</v>
      </c>
      <c r="D387">
        <f t="shared" si="26"/>
        <v>0.93131765584173298</v>
      </c>
      <c r="E387">
        <f t="shared" si="27"/>
        <v>1.2566567127037467</v>
      </c>
      <c r="F387">
        <f t="shared" si="28"/>
        <v>-0.25889254684521901</v>
      </c>
      <c r="G387">
        <f t="shared" si="29"/>
        <v>0.24782159049456354</v>
      </c>
      <c r="H387" s="1"/>
    </row>
    <row r="388" spans="1:8" x14ac:dyDescent="0.45">
      <c r="A388" s="1">
        <v>44806</v>
      </c>
      <c r="B388">
        <v>295.17</v>
      </c>
      <c r="C388">
        <f t="shared" ref="C388:C451" si="30">IFERROR((B388/B387)-1,"")</f>
        <v>-1.4128256513025961E-2</v>
      </c>
      <c r="D388">
        <f t="shared" ref="D388:D451" si="31">D387*(1+C388)</f>
        <v>0.91815976110489095</v>
      </c>
      <c r="E388">
        <f t="shared" ref="E388:E451" si="32">MAX(E387,D388)</f>
        <v>1.2566567127037467</v>
      </c>
      <c r="F388">
        <f t="shared" ref="F388:F451" si="33">D388/E388-1</f>
        <v>-0.2693631030471052</v>
      </c>
      <c r="G388">
        <f t="shared" si="29"/>
        <v>0.25008028865162957</v>
      </c>
      <c r="H388" s="1"/>
    </row>
    <row r="389" spans="1:8" x14ac:dyDescent="0.45">
      <c r="A389" s="1">
        <v>44810</v>
      </c>
      <c r="B389">
        <v>293.05</v>
      </c>
      <c r="C389">
        <f t="shared" si="30"/>
        <v>-7.182301724430018E-3</v>
      </c>
      <c r="D389">
        <f t="shared" si="31"/>
        <v>0.91156526066940502</v>
      </c>
      <c r="E389">
        <f t="shared" si="32"/>
        <v>1.2566567127037467</v>
      </c>
      <c r="F389">
        <f t="shared" si="33"/>
        <v>-0.27461075769202214</v>
      </c>
      <c r="G389">
        <f t="shared" si="29"/>
        <v>0.25027403613454474</v>
      </c>
      <c r="H389" s="1"/>
    </row>
    <row r="390" spans="1:8" x14ac:dyDescent="0.45">
      <c r="A390" s="1">
        <v>44811</v>
      </c>
      <c r="B390">
        <v>298.97000000000003</v>
      </c>
      <c r="C390">
        <f t="shared" si="30"/>
        <v>2.0201330830916353E-2</v>
      </c>
      <c r="D390">
        <f t="shared" si="31"/>
        <v>0.92998009207415822</v>
      </c>
      <c r="E390">
        <f t="shared" si="32"/>
        <v>1.2566567127037467</v>
      </c>
      <c r="F390">
        <f t="shared" si="33"/>
        <v>-0.25995692962697092</v>
      </c>
      <c r="G390">
        <f t="shared" si="29"/>
        <v>0.26335252743024729</v>
      </c>
      <c r="H390" s="1"/>
    </row>
    <row r="391" spans="1:8" x14ac:dyDescent="0.45">
      <c r="A391" s="1">
        <v>44812</v>
      </c>
      <c r="B391">
        <v>300.52</v>
      </c>
      <c r="C391">
        <f t="shared" si="30"/>
        <v>5.1844666688964924E-3</v>
      </c>
      <c r="D391">
        <f t="shared" si="31"/>
        <v>0.93480154286425399</v>
      </c>
      <c r="E391">
        <f t="shared" si="32"/>
        <v>1.2566567127037467</v>
      </c>
      <c r="F391">
        <f t="shared" si="33"/>
        <v>-0.25612020099507415</v>
      </c>
      <c r="G391">
        <f t="shared" si="29"/>
        <v>0.23946891392636827</v>
      </c>
      <c r="H391" s="1"/>
    </row>
    <row r="392" spans="1:8" x14ac:dyDescent="0.45">
      <c r="A392" s="1">
        <v>44813</v>
      </c>
      <c r="B392">
        <v>307.08999999999997</v>
      </c>
      <c r="C392">
        <f t="shared" si="30"/>
        <v>2.1862105683482014E-2</v>
      </c>
      <c r="D392">
        <f t="shared" si="31"/>
        <v>0.95523827298743436</v>
      </c>
      <c r="E392">
        <f t="shared" si="32"/>
        <v>1.2566567127037467</v>
      </c>
      <c r="F392">
        <f t="shared" si="33"/>
        <v>-0.2398574222134211</v>
      </c>
      <c r="G392">
        <f t="shared" si="29"/>
        <v>0.2561899040505311</v>
      </c>
      <c r="H392" s="1"/>
    </row>
    <row r="393" spans="1:8" x14ac:dyDescent="0.45">
      <c r="A393" s="1">
        <v>44816</v>
      </c>
      <c r="B393">
        <v>310.74</v>
      </c>
      <c r="C393">
        <f t="shared" si="30"/>
        <v>1.1885766387704111E-2</v>
      </c>
      <c r="D393">
        <f t="shared" si="31"/>
        <v>0.96659201194475697</v>
      </c>
      <c r="E393">
        <f t="shared" si="32"/>
        <v>1.2566567127037467</v>
      </c>
      <c r="F393">
        <f t="shared" si="33"/>
        <v>-0.23082254511250255</v>
      </c>
      <c r="G393">
        <f t="shared" si="29"/>
        <v>0.2488470132975191</v>
      </c>
      <c r="H393" s="1"/>
    </row>
    <row r="394" spans="1:8" x14ac:dyDescent="0.45">
      <c r="A394" s="1">
        <v>44817</v>
      </c>
      <c r="B394">
        <v>293.7</v>
      </c>
      <c r="C394">
        <f t="shared" si="30"/>
        <v>-5.4836841089013433E-2</v>
      </c>
      <c r="D394">
        <f t="shared" si="31"/>
        <v>0.91358715938783253</v>
      </c>
      <c r="E394">
        <f t="shared" si="32"/>
        <v>1.2566567127037467</v>
      </c>
      <c r="F394">
        <f t="shared" si="33"/>
        <v>-0.27300180697542009</v>
      </c>
      <c r="G394">
        <f t="shared" si="29"/>
        <v>0.30562083462473733</v>
      </c>
      <c r="H394" s="1"/>
    </row>
    <row r="395" spans="1:8" x14ac:dyDescent="0.45">
      <c r="A395" s="1">
        <v>44818</v>
      </c>
      <c r="B395">
        <v>296.02999999999997</v>
      </c>
      <c r="C395">
        <f t="shared" si="30"/>
        <v>7.9332652366359557E-3</v>
      </c>
      <c r="D395">
        <f t="shared" si="31"/>
        <v>0.92083488864004104</v>
      </c>
      <c r="E395">
        <f t="shared" si="32"/>
        <v>1.2566567127037467</v>
      </c>
      <c r="F395">
        <f t="shared" si="33"/>
        <v>-0.26723433748360104</v>
      </c>
      <c r="G395">
        <f t="shared" si="29"/>
        <v>0.30944437665744251</v>
      </c>
      <c r="H395" s="1"/>
    </row>
    <row r="396" spans="1:8" x14ac:dyDescent="0.45">
      <c r="A396" s="1">
        <v>44819</v>
      </c>
      <c r="B396">
        <v>291.10000000000002</v>
      </c>
      <c r="C396">
        <f t="shared" si="30"/>
        <v>-1.6653717528628653E-2</v>
      </c>
      <c r="D396">
        <f t="shared" si="31"/>
        <v>0.90549956451412361</v>
      </c>
      <c r="E396">
        <f t="shared" si="32"/>
        <v>1.2566567127037467</v>
      </c>
      <c r="F396">
        <f t="shared" si="33"/>
        <v>-0.27943760984182753</v>
      </c>
      <c r="G396">
        <f t="shared" si="29"/>
        <v>0.31131077898352105</v>
      </c>
      <c r="H396" s="1"/>
    </row>
    <row r="397" spans="1:8" x14ac:dyDescent="0.45">
      <c r="A397" s="1">
        <v>44820</v>
      </c>
      <c r="B397">
        <v>289.32</v>
      </c>
      <c r="C397">
        <f t="shared" si="30"/>
        <v>-6.1147372037101411E-3</v>
      </c>
      <c r="D397">
        <f t="shared" si="31"/>
        <v>0.89996267263904572</v>
      </c>
      <c r="E397">
        <f t="shared" si="32"/>
        <v>1.2566567127037467</v>
      </c>
      <c r="F397">
        <f t="shared" si="33"/>
        <v>-0.28384365949652202</v>
      </c>
      <c r="G397">
        <f t="shared" si="29"/>
        <v>0.30978394611191745</v>
      </c>
      <c r="H397" s="1"/>
    </row>
    <row r="398" spans="1:8" x14ac:dyDescent="0.45">
      <c r="A398" s="1">
        <v>44823</v>
      </c>
      <c r="B398">
        <v>291.05</v>
      </c>
      <c r="C398">
        <f t="shared" si="30"/>
        <v>5.9795382275682485E-3</v>
      </c>
      <c r="D398">
        <f t="shared" si="31"/>
        <v>0.90534403384347539</v>
      </c>
      <c r="E398">
        <f t="shared" si="32"/>
        <v>1.2566567127037467</v>
      </c>
      <c r="F398">
        <f t="shared" si="33"/>
        <v>-0.2795613752815661</v>
      </c>
      <c r="G398">
        <f t="shared" si="29"/>
        <v>0.30854709607362091</v>
      </c>
      <c r="H398" s="1"/>
    </row>
    <row r="399" spans="1:8" x14ac:dyDescent="0.45">
      <c r="A399" s="1">
        <v>44824</v>
      </c>
      <c r="B399">
        <v>288.73</v>
      </c>
      <c r="C399">
        <f t="shared" si="30"/>
        <v>-7.9711389795567023E-3</v>
      </c>
      <c r="D399">
        <f t="shared" si="31"/>
        <v>0.89812741072539659</v>
      </c>
      <c r="E399">
        <f t="shared" si="32"/>
        <v>1.2566567127037467</v>
      </c>
      <c r="F399">
        <f t="shared" si="33"/>
        <v>-0.28530409168543736</v>
      </c>
      <c r="G399">
        <f t="shared" si="29"/>
        <v>0.29842491135318255</v>
      </c>
      <c r="H399" s="1"/>
    </row>
    <row r="400" spans="1:8" x14ac:dyDescent="0.45">
      <c r="A400" s="1">
        <v>44825</v>
      </c>
      <c r="B400">
        <v>283.56</v>
      </c>
      <c r="C400">
        <f t="shared" si="30"/>
        <v>-1.7906002147334954E-2</v>
      </c>
      <c r="D400">
        <f t="shared" si="31"/>
        <v>0.88204553938036723</v>
      </c>
      <c r="E400">
        <f t="shared" si="32"/>
        <v>1.2566567127037467</v>
      </c>
      <c r="F400">
        <f t="shared" si="33"/>
        <v>-0.29810143815440948</v>
      </c>
      <c r="G400">
        <f t="shared" si="29"/>
        <v>0.30209677247469729</v>
      </c>
      <c r="H400" s="1"/>
    </row>
    <row r="401" spans="1:8" x14ac:dyDescent="0.45">
      <c r="A401" s="1">
        <v>44826</v>
      </c>
      <c r="B401">
        <v>280.07</v>
      </c>
      <c r="C401">
        <f t="shared" si="30"/>
        <v>-1.2307800818169068E-2</v>
      </c>
      <c r="D401">
        <f t="shared" si="31"/>
        <v>0.8711894985691192</v>
      </c>
      <c r="E401">
        <f t="shared" si="32"/>
        <v>1.2566567127037467</v>
      </c>
      <c r="F401">
        <f t="shared" si="33"/>
        <v>-0.30674026584816427</v>
      </c>
      <c r="G401">
        <f t="shared" si="29"/>
        <v>0.30169521284515027</v>
      </c>
      <c r="H401" s="1"/>
    </row>
    <row r="402" spans="1:8" x14ac:dyDescent="0.45">
      <c r="A402" s="1">
        <v>44827</v>
      </c>
      <c r="B402">
        <v>275.51</v>
      </c>
      <c r="C402">
        <f t="shared" si="30"/>
        <v>-1.6281643874745622E-2</v>
      </c>
      <c r="D402">
        <f t="shared" si="31"/>
        <v>0.85700510140599861</v>
      </c>
      <c r="E402">
        <f t="shared" si="32"/>
        <v>1.2566567127037467</v>
      </c>
      <c r="F402">
        <f t="shared" si="33"/>
        <v>-0.31802767395232534</v>
      </c>
      <c r="G402">
        <f t="shared" si="29"/>
        <v>0.2906905905066075</v>
      </c>
      <c r="H402" s="1"/>
    </row>
    <row r="403" spans="1:8" x14ac:dyDescent="0.45">
      <c r="A403" s="1">
        <v>44830</v>
      </c>
      <c r="B403">
        <v>274.37</v>
      </c>
      <c r="C403">
        <f t="shared" si="30"/>
        <v>-4.1377808428005869E-3</v>
      </c>
      <c r="D403">
        <f t="shared" si="31"/>
        <v>0.85345900211521852</v>
      </c>
      <c r="E403">
        <f t="shared" si="32"/>
        <v>1.2566567127037467</v>
      </c>
      <c r="F403">
        <f t="shared" si="33"/>
        <v>-0.32084952597836547</v>
      </c>
      <c r="G403">
        <f t="shared" si="29"/>
        <v>0.2622282706660502</v>
      </c>
      <c r="H403" s="1"/>
    </row>
    <row r="404" spans="1:8" x14ac:dyDescent="0.45">
      <c r="A404" s="1">
        <v>44831</v>
      </c>
      <c r="B404">
        <v>274.48</v>
      </c>
      <c r="C404">
        <f t="shared" si="30"/>
        <v>4.0091846776246776E-4</v>
      </c>
      <c r="D404">
        <f t="shared" si="31"/>
        <v>0.85380116959064467</v>
      </c>
      <c r="E404">
        <f t="shared" si="32"/>
        <v>1.2566567127037467</v>
      </c>
      <c r="F404">
        <f t="shared" si="33"/>
        <v>-0.32057724201094062</v>
      </c>
      <c r="G404">
        <f t="shared" si="29"/>
        <v>0.2625178363012029</v>
      </c>
      <c r="H404" s="1"/>
    </row>
    <row r="405" spans="1:8" x14ac:dyDescent="0.45">
      <c r="A405" s="1">
        <v>44832</v>
      </c>
      <c r="B405">
        <v>279.94</v>
      </c>
      <c r="C405">
        <f t="shared" si="30"/>
        <v>1.9892159720198199E-2</v>
      </c>
      <c r="D405">
        <f t="shared" si="31"/>
        <v>0.87078511882543386</v>
      </c>
      <c r="E405">
        <f t="shared" si="32"/>
        <v>1.2566567127037467</v>
      </c>
      <c r="F405">
        <f t="shared" si="33"/>
        <v>-0.30706205599148462</v>
      </c>
      <c r="G405">
        <f t="shared" si="29"/>
        <v>0.2757173550964544</v>
      </c>
      <c r="H405" s="1"/>
    </row>
    <row r="406" spans="1:8" x14ac:dyDescent="0.45">
      <c r="A406" s="1">
        <v>44833</v>
      </c>
      <c r="B406">
        <v>271.87</v>
      </c>
      <c r="C406">
        <f t="shared" si="30"/>
        <v>-2.8827605915553334E-2</v>
      </c>
      <c r="D406">
        <f t="shared" si="31"/>
        <v>0.84568246858280594</v>
      </c>
      <c r="E406">
        <f t="shared" si="32"/>
        <v>1.2566567127037467</v>
      </c>
      <c r="F406">
        <f t="shared" si="33"/>
        <v>-0.32703779796529586</v>
      </c>
      <c r="G406">
        <f t="shared" ref="G406:G469" si="34">_xlfn.STDEV.S(C387:C406)*SQRT(252)</f>
        <v>0.29003347308475619</v>
      </c>
      <c r="H406" s="1"/>
    </row>
    <row r="407" spans="1:8" x14ac:dyDescent="0.45">
      <c r="A407" s="1">
        <v>44834</v>
      </c>
      <c r="B407">
        <v>267.26</v>
      </c>
      <c r="C407">
        <f t="shared" si="30"/>
        <v>-1.6956633685217271E-2</v>
      </c>
      <c r="D407">
        <f t="shared" si="31"/>
        <v>0.83134254074903702</v>
      </c>
      <c r="E407">
        <f t="shared" si="32"/>
        <v>1.2566567127037467</v>
      </c>
      <c r="F407">
        <f t="shared" si="33"/>
        <v>-0.33844897150919551</v>
      </c>
      <c r="G407">
        <f t="shared" si="34"/>
        <v>0.29256547231380731</v>
      </c>
      <c r="H407" s="1"/>
    </row>
    <row r="408" spans="1:8" x14ac:dyDescent="0.45">
      <c r="A408" s="1">
        <v>44837</v>
      </c>
      <c r="B408">
        <v>273.52999999999997</v>
      </c>
      <c r="C408">
        <f t="shared" si="30"/>
        <v>2.3460300830651759E-2</v>
      </c>
      <c r="D408">
        <f t="shared" si="31"/>
        <v>0.85084608684832774</v>
      </c>
      <c r="E408">
        <f t="shared" si="32"/>
        <v>1.2566567127037467</v>
      </c>
      <c r="F408">
        <f t="shared" si="33"/>
        <v>-0.32292878536597425</v>
      </c>
      <c r="G408">
        <f t="shared" si="34"/>
        <v>0.30788346559613305</v>
      </c>
      <c r="H408" s="1"/>
    </row>
    <row r="409" spans="1:8" x14ac:dyDescent="0.45">
      <c r="A409" s="1">
        <v>44838</v>
      </c>
      <c r="B409">
        <v>282.13</v>
      </c>
      <c r="C409">
        <f t="shared" si="30"/>
        <v>3.1440792600446077E-2</v>
      </c>
      <c r="D409">
        <f t="shared" si="31"/>
        <v>0.87759736219982709</v>
      </c>
      <c r="E409">
        <f t="shared" si="32"/>
        <v>1.2566567127037467</v>
      </c>
      <c r="F409">
        <f t="shared" si="33"/>
        <v>-0.30164112973093371</v>
      </c>
      <c r="G409">
        <f t="shared" si="34"/>
        <v>0.33156794888786123</v>
      </c>
      <c r="H409" s="1"/>
    </row>
    <row r="410" spans="1:8" x14ac:dyDescent="0.45">
      <c r="A410" s="1">
        <v>44839</v>
      </c>
      <c r="B410">
        <v>281.98</v>
      </c>
      <c r="C410">
        <f t="shared" si="30"/>
        <v>-5.3166979761098965E-4</v>
      </c>
      <c r="D410">
        <f t="shared" si="31"/>
        <v>0.87713077018788232</v>
      </c>
      <c r="E410">
        <f t="shared" si="32"/>
        <v>1.2566567127037467</v>
      </c>
      <c r="F410">
        <f t="shared" si="33"/>
        <v>-0.30201242605014955</v>
      </c>
      <c r="G410">
        <f t="shared" si="34"/>
        <v>0.32142684138682487</v>
      </c>
      <c r="H410" s="1"/>
    </row>
    <row r="411" spans="1:8" x14ac:dyDescent="0.45">
      <c r="A411" s="1">
        <v>44840</v>
      </c>
      <c r="B411">
        <v>279.76</v>
      </c>
      <c r="C411">
        <f t="shared" si="30"/>
        <v>-7.8728987871481415E-3</v>
      </c>
      <c r="D411">
        <f t="shared" si="31"/>
        <v>0.87022520841109985</v>
      </c>
      <c r="E411">
        <f t="shared" si="32"/>
        <v>1.2566567127037467</v>
      </c>
      <c r="F411">
        <f t="shared" si="33"/>
        <v>-0.30750761157454376</v>
      </c>
      <c r="G411">
        <f t="shared" si="34"/>
        <v>0.32050605892821205</v>
      </c>
      <c r="H411" s="1"/>
    </row>
    <row r="412" spans="1:8" x14ac:dyDescent="0.45">
      <c r="A412" s="1">
        <v>44841</v>
      </c>
      <c r="B412">
        <v>269.10000000000002</v>
      </c>
      <c r="C412">
        <f t="shared" si="30"/>
        <v>-3.8104089219330728E-2</v>
      </c>
      <c r="D412">
        <f t="shared" si="31"/>
        <v>0.83706606942889261</v>
      </c>
      <c r="E412">
        <f t="shared" si="32"/>
        <v>1.2566567127037467</v>
      </c>
      <c r="F412">
        <f t="shared" si="33"/>
        <v>-0.33389440332681486</v>
      </c>
      <c r="G412">
        <f t="shared" si="34"/>
        <v>0.32845905373668605</v>
      </c>
      <c r="H412" s="1"/>
    </row>
    <row r="413" spans="1:8" x14ac:dyDescent="0.45">
      <c r="A413" s="1">
        <v>44844</v>
      </c>
      <c r="B413">
        <v>266.41000000000003</v>
      </c>
      <c r="C413">
        <f t="shared" si="30"/>
        <v>-9.9962839093273859E-3</v>
      </c>
      <c r="D413">
        <f t="shared" si="31"/>
        <v>0.82869851934801664</v>
      </c>
      <c r="E413">
        <f t="shared" si="32"/>
        <v>1.2566567127037467</v>
      </c>
      <c r="F413">
        <f t="shared" si="33"/>
        <v>-0.34055298398475198</v>
      </c>
      <c r="G413">
        <f t="shared" si="34"/>
        <v>0.321432394034739</v>
      </c>
      <c r="H413" s="1"/>
    </row>
    <row r="414" spans="1:8" x14ac:dyDescent="0.45">
      <c r="A414" s="1">
        <v>44845</v>
      </c>
      <c r="B414">
        <v>262.75</v>
      </c>
      <c r="C414">
        <f t="shared" si="30"/>
        <v>-1.3738223039675757E-2</v>
      </c>
      <c r="D414">
        <f t="shared" si="31"/>
        <v>0.81731367425656454</v>
      </c>
      <c r="E414">
        <f t="shared" si="32"/>
        <v>1.2566567127037467</v>
      </c>
      <c r="F414">
        <f t="shared" si="33"/>
        <v>-0.349612614173618</v>
      </c>
      <c r="G414">
        <f t="shared" si="34"/>
        <v>0.27011454206873675</v>
      </c>
      <c r="H414" s="1"/>
    </row>
    <row r="415" spans="1:8" x14ac:dyDescent="0.45">
      <c r="A415" s="1">
        <v>44846</v>
      </c>
      <c r="B415">
        <v>262.66000000000003</v>
      </c>
      <c r="C415">
        <f t="shared" si="30"/>
        <v>-3.4253092293046183E-4</v>
      </c>
      <c r="D415">
        <f t="shared" si="31"/>
        <v>0.8170337190493977</v>
      </c>
      <c r="E415">
        <f t="shared" si="32"/>
        <v>1.2566567127037467</v>
      </c>
      <c r="F415">
        <f t="shared" si="33"/>
        <v>-0.34983539196514746</v>
      </c>
      <c r="G415">
        <f t="shared" si="34"/>
        <v>0.26626040345516439</v>
      </c>
      <c r="H415" s="1"/>
    </row>
    <row r="416" spans="1:8" x14ac:dyDescent="0.45">
      <c r="A416" s="1">
        <v>44847</v>
      </c>
      <c r="B416">
        <v>268.82</v>
      </c>
      <c r="C416">
        <f t="shared" si="30"/>
        <v>2.3452371887611179E-2</v>
      </c>
      <c r="D416">
        <f t="shared" si="31"/>
        <v>0.83619509767326217</v>
      </c>
      <c r="E416">
        <f t="shared" si="32"/>
        <v>1.2566567127037467</v>
      </c>
      <c r="F416">
        <f t="shared" si="33"/>
        <v>-0.33458748978935127</v>
      </c>
      <c r="G416">
        <f t="shared" si="34"/>
        <v>0.28221453228821025</v>
      </c>
      <c r="H416" s="1"/>
    </row>
    <row r="417" spans="1:8" x14ac:dyDescent="0.45">
      <c r="A417" s="1">
        <v>44848</v>
      </c>
      <c r="B417">
        <v>260.74</v>
      </c>
      <c r="C417">
        <f t="shared" si="30"/>
        <v>-3.0057287404210986E-2</v>
      </c>
      <c r="D417">
        <f t="shared" si="31"/>
        <v>0.81106134129650465</v>
      </c>
      <c r="E417">
        <f t="shared" si="32"/>
        <v>1.2566567127037467</v>
      </c>
      <c r="F417">
        <f t="shared" si="33"/>
        <v>-0.35458798485111021</v>
      </c>
      <c r="G417">
        <f t="shared" si="34"/>
        <v>0.29719243612896645</v>
      </c>
      <c r="H417" s="1"/>
    </row>
    <row r="418" spans="1:8" x14ac:dyDescent="0.45">
      <c r="A418" s="1">
        <v>44851</v>
      </c>
      <c r="B418">
        <v>269.35000000000002</v>
      </c>
      <c r="C418">
        <f t="shared" si="30"/>
        <v>3.302140062897907E-2</v>
      </c>
      <c r="D418">
        <f t="shared" si="31"/>
        <v>0.8378437227821337</v>
      </c>
      <c r="E418">
        <f t="shared" si="32"/>
        <v>1.2566567127037467</v>
      </c>
      <c r="F418">
        <f t="shared" si="33"/>
        <v>-0.33327557612812198</v>
      </c>
      <c r="G418">
        <f t="shared" si="34"/>
        <v>0.32469623719081897</v>
      </c>
      <c r="H418" s="1"/>
    </row>
    <row r="419" spans="1:8" x14ac:dyDescent="0.45">
      <c r="A419" s="1">
        <v>44852</v>
      </c>
      <c r="B419">
        <v>271.48</v>
      </c>
      <c r="C419">
        <f t="shared" si="30"/>
        <v>7.9079264896972923E-3</v>
      </c>
      <c r="D419">
        <f t="shared" si="31"/>
        <v>0.84446932935174912</v>
      </c>
      <c r="E419">
        <f t="shared" si="32"/>
        <v>1.2566567127037467</v>
      </c>
      <c r="F419">
        <f t="shared" si="33"/>
        <v>-0.32800316839525734</v>
      </c>
      <c r="G419">
        <f t="shared" si="34"/>
        <v>0.32679077122741229</v>
      </c>
      <c r="H419" s="1"/>
    </row>
    <row r="420" spans="1:8" x14ac:dyDescent="0.45">
      <c r="A420" s="1">
        <v>44853</v>
      </c>
      <c r="B420">
        <v>270.49</v>
      </c>
      <c r="C420">
        <f t="shared" si="30"/>
        <v>-3.6466774716369388E-3</v>
      </c>
      <c r="D420">
        <f t="shared" si="31"/>
        <v>0.8413898220729138</v>
      </c>
      <c r="E420">
        <f t="shared" si="32"/>
        <v>1.2566567127037467</v>
      </c>
      <c r="F420">
        <f t="shared" si="33"/>
        <v>-0.33045372410208174</v>
      </c>
      <c r="G420">
        <f t="shared" si="34"/>
        <v>0.32197580171952678</v>
      </c>
      <c r="H420" s="1"/>
    </row>
    <row r="421" spans="1:8" x14ac:dyDescent="0.45">
      <c r="A421" s="1">
        <v>44854</v>
      </c>
      <c r="B421">
        <v>269.11</v>
      </c>
      <c r="C421">
        <f t="shared" si="30"/>
        <v>-5.1018521941661454E-3</v>
      </c>
      <c r="D421">
        <f t="shared" si="31"/>
        <v>0.83709717556302199</v>
      </c>
      <c r="E421">
        <f t="shared" si="32"/>
        <v>1.2566567127037467</v>
      </c>
      <c r="F421">
        <f t="shared" si="33"/>
        <v>-0.33386965023886728</v>
      </c>
      <c r="G421">
        <f t="shared" si="34"/>
        <v>0.31997374520202115</v>
      </c>
      <c r="H421" s="1"/>
    </row>
    <row r="422" spans="1:8" x14ac:dyDescent="0.45">
      <c r="A422" s="1">
        <v>44855</v>
      </c>
      <c r="B422">
        <v>275.42</v>
      </c>
      <c r="C422">
        <f t="shared" si="30"/>
        <v>2.3447660807847992E-2</v>
      </c>
      <c r="D422">
        <f t="shared" si="31"/>
        <v>0.85672514619883133</v>
      </c>
      <c r="E422">
        <f t="shared" si="32"/>
        <v>1.2566567127037467</v>
      </c>
      <c r="F422">
        <f t="shared" si="33"/>
        <v>-0.31825045174385513</v>
      </c>
      <c r="G422">
        <f t="shared" si="34"/>
        <v>0.32712455908864685</v>
      </c>
      <c r="H422" s="1"/>
    </row>
    <row r="423" spans="1:8" x14ac:dyDescent="0.45">
      <c r="A423" s="1">
        <v>44858</v>
      </c>
      <c r="B423">
        <v>278.45</v>
      </c>
      <c r="C423">
        <f t="shared" si="30"/>
        <v>1.1001379710986692E-2</v>
      </c>
      <c r="D423">
        <f t="shared" si="31"/>
        <v>0.86615030484011524</v>
      </c>
      <c r="E423">
        <f t="shared" si="32"/>
        <v>1.2566567127037467</v>
      </c>
      <c r="F423">
        <f t="shared" si="33"/>
        <v>-0.31075026609569567</v>
      </c>
      <c r="G423">
        <f t="shared" si="34"/>
        <v>0.328880151675499</v>
      </c>
      <c r="H423" s="1"/>
    </row>
    <row r="424" spans="1:8" x14ac:dyDescent="0.45">
      <c r="A424" s="1">
        <v>44859</v>
      </c>
      <c r="B424">
        <v>284.20999999999998</v>
      </c>
      <c r="C424">
        <f t="shared" si="30"/>
        <v>2.0685940025139127E-2</v>
      </c>
      <c r="D424">
        <f t="shared" si="31"/>
        <v>0.88406743809879385</v>
      </c>
      <c r="E424">
        <f t="shared" si="32"/>
        <v>1.2566567127037467</v>
      </c>
      <c r="F424">
        <f t="shared" si="33"/>
        <v>-0.29649248743780809</v>
      </c>
      <c r="G424">
        <f t="shared" si="34"/>
        <v>0.33623716827824834</v>
      </c>
      <c r="H424" s="1"/>
    </row>
    <row r="425" spans="1:8" x14ac:dyDescent="0.45">
      <c r="A425" s="1">
        <v>44860</v>
      </c>
      <c r="B425">
        <v>277.93</v>
      </c>
      <c r="C425">
        <f t="shared" si="30"/>
        <v>-2.2096337215439243E-2</v>
      </c>
      <c r="D425">
        <f t="shared" si="31"/>
        <v>0.86453278586537341</v>
      </c>
      <c r="E425">
        <f t="shared" si="32"/>
        <v>1.2566567127037467</v>
      </c>
      <c r="F425">
        <f t="shared" si="33"/>
        <v>-0.31203742666897716</v>
      </c>
      <c r="G425">
        <f t="shared" si="34"/>
        <v>0.33954845434092662</v>
      </c>
      <c r="H425" s="1"/>
    </row>
    <row r="426" spans="1:8" x14ac:dyDescent="0.45">
      <c r="A426" s="1">
        <v>44861</v>
      </c>
      <c r="B426">
        <v>272.87</v>
      </c>
      <c r="C426">
        <f t="shared" si="30"/>
        <v>-1.8206023099341606E-2</v>
      </c>
      <c r="D426">
        <f t="shared" si="31"/>
        <v>0.8487930819957703</v>
      </c>
      <c r="E426">
        <f t="shared" si="32"/>
        <v>1.2566567127037467</v>
      </c>
      <c r="F426">
        <f t="shared" si="33"/>
        <v>-0.32456248917052422</v>
      </c>
      <c r="G426">
        <f t="shared" si="34"/>
        <v>0.32959467570884954</v>
      </c>
      <c r="H426" s="1"/>
    </row>
    <row r="427" spans="1:8" x14ac:dyDescent="0.45">
      <c r="A427" s="1">
        <v>44862</v>
      </c>
      <c r="B427">
        <v>281.22000000000003</v>
      </c>
      <c r="C427">
        <f t="shared" si="30"/>
        <v>3.0600652325283084E-2</v>
      </c>
      <c r="D427">
        <f t="shared" si="31"/>
        <v>0.87476670399402834</v>
      </c>
      <c r="E427">
        <f t="shared" si="32"/>
        <v>1.2566567127037467</v>
      </c>
      <c r="F427">
        <f t="shared" si="33"/>
        <v>-0.3038936607341769</v>
      </c>
      <c r="G427">
        <f t="shared" si="34"/>
        <v>0.33948337148479141</v>
      </c>
      <c r="H427" s="1"/>
    </row>
    <row r="428" spans="1:8" x14ac:dyDescent="0.45">
      <c r="A428" s="1">
        <v>44865</v>
      </c>
      <c r="B428">
        <v>277.95</v>
      </c>
      <c r="C428">
        <f t="shared" si="30"/>
        <v>-1.1627906976744318E-2</v>
      </c>
      <c r="D428">
        <f t="shared" si="31"/>
        <v>0.8645949981336325</v>
      </c>
      <c r="E428">
        <f t="shared" si="32"/>
        <v>1.2566567127037467</v>
      </c>
      <c r="F428">
        <f t="shared" si="33"/>
        <v>-0.31198792049308188</v>
      </c>
      <c r="G428">
        <f t="shared" si="34"/>
        <v>0.33391709004005427</v>
      </c>
      <c r="H428" s="1"/>
    </row>
    <row r="429" spans="1:8" x14ac:dyDescent="0.45">
      <c r="A429" s="1">
        <v>44866</v>
      </c>
      <c r="B429">
        <v>275.11</v>
      </c>
      <c r="C429">
        <f t="shared" si="30"/>
        <v>-1.021766504767041E-2</v>
      </c>
      <c r="D429">
        <f t="shared" si="31"/>
        <v>0.85576085604081187</v>
      </c>
      <c r="E429">
        <f t="shared" si="32"/>
        <v>1.2566567127037467</v>
      </c>
      <c r="F429">
        <f t="shared" si="33"/>
        <v>-0.31901779747023473</v>
      </c>
      <c r="G429">
        <f t="shared" si="34"/>
        <v>0.31581894345360628</v>
      </c>
      <c r="H429" s="1"/>
    </row>
    <row r="430" spans="1:8" x14ac:dyDescent="0.45">
      <c r="A430" s="1">
        <v>44867</v>
      </c>
      <c r="B430">
        <v>265.68</v>
      </c>
      <c r="C430">
        <f t="shared" si="30"/>
        <v>-3.4277198211624449E-2</v>
      </c>
      <c r="D430">
        <f t="shared" si="31"/>
        <v>0.82642777155655156</v>
      </c>
      <c r="E430">
        <f t="shared" si="32"/>
        <v>1.2566567127037467</v>
      </c>
      <c r="F430">
        <f t="shared" si="33"/>
        <v>-0.34235995940493602</v>
      </c>
      <c r="G430">
        <f t="shared" si="34"/>
        <v>0.33705654813866914</v>
      </c>
      <c r="H430" s="1"/>
    </row>
    <row r="431" spans="1:8" x14ac:dyDescent="0.45">
      <c r="A431" s="1">
        <v>44868</v>
      </c>
      <c r="B431">
        <v>260.49</v>
      </c>
      <c r="C431">
        <f t="shared" si="30"/>
        <v>-1.9534778681120191E-2</v>
      </c>
      <c r="D431">
        <f t="shared" si="31"/>
        <v>0.810283687943263</v>
      </c>
      <c r="E431">
        <f t="shared" si="32"/>
        <v>1.2566567127037467</v>
      </c>
      <c r="F431">
        <f t="shared" si="33"/>
        <v>-0.35520681204980353</v>
      </c>
      <c r="G431">
        <f t="shared" si="34"/>
        <v>0.34191061482587742</v>
      </c>
      <c r="H431" s="1"/>
    </row>
    <row r="432" spans="1:8" x14ac:dyDescent="0.45">
      <c r="A432" s="1">
        <v>44869</v>
      </c>
      <c r="B432">
        <v>264.68</v>
      </c>
      <c r="C432">
        <f t="shared" si="30"/>
        <v>1.6085070444162852E-2</v>
      </c>
      <c r="D432">
        <f t="shared" si="31"/>
        <v>0.82331715814358641</v>
      </c>
      <c r="E432">
        <f t="shared" si="32"/>
        <v>1.2566567127037467</v>
      </c>
      <c r="F432">
        <f t="shared" si="33"/>
        <v>-0.34483526819970833</v>
      </c>
      <c r="G432">
        <f t="shared" si="34"/>
        <v>0.32238672469436497</v>
      </c>
      <c r="H432" s="1"/>
    </row>
    <row r="433" spans="1:8" x14ac:dyDescent="0.45">
      <c r="A433" s="1">
        <v>44872</v>
      </c>
      <c r="B433">
        <v>267.58999999999997</v>
      </c>
      <c r="C433">
        <f t="shared" si="30"/>
        <v>1.0994408342148931E-2</v>
      </c>
      <c r="D433">
        <f t="shared" si="31"/>
        <v>0.83236904317531457</v>
      </c>
      <c r="E433">
        <f t="shared" si="32"/>
        <v>1.2566567127037467</v>
      </c>
      <c r="F433">
        <f t="shared" si="33"/>
        <v>-0.33763211960692141</v>
      </c>
      <c r="G433">
        <f t="shared" si="34"/>
        <v>0.32290989271637488</v>
      </c>
      <c r="H433" s="1"/>
    </row>
    <row r="434" spans="1:8" x14ac:dyDescent="0.45">
      <c r="A434" s="1">
        <v>44873</v>
      </c>
      <c r="B434">
        <v>269.54000000000002</v>
      </c>
      <c r="C434">
        <f t="shared" si="30"/>
        <v>7.2872678351210141E-3</v>
      </c>
      <c r="D434">
        <f t="shared" si="31"/>
        <v>0.83843473933059653</v>
      </c>
      <c r="E434">
        <f t="shared" si="32"/>
        <v>1.2566567127037467</v>
      </c>
      <c r="F434">
        <f t="shared" si="33"/>
        <v>-0.33280526745711569</v>
      </c>
      <c r="G434">
        <f t="shared" si="34"/>
        <v>0.31928957544053777</v>
      </c>
      <c r="H434" s="1"/>
    </row>
    <row r="435" spans="1:8" x14ac:dyDescent="0.45">
      <c r="A435" s="1">
        <v>44874</v>
      </c>
      <c r="B435">
        <v>263.32</v>
      </c>
      <c r="C435">
        <f t="shared" si="30"/>
        <v>-2.3076352303925352E-2</v>
      </c>
      <c r="D435">
        <f t="shared" si="31"/>
        <v>0.81908672390195392</v>
      </c>
      <c r="E435">
        <f t="shared" si="32"/>
        <v>1.2566567127037467</v>
      </c>
      <c r="F435">
        <f t="shared" si="33"/>
        <v>-0.34820168816059849</v>
      </c>
      <c r="G435">
        <f t="shared" si="34"/>
        <v>0.33098361951588157</v>
      </c>
      <c r="H435" s="1"/>
    </row>
    <row r="436" spans="1:8" x14ac:dyDescent="0.45">
      <c r="A436" s="1">
        <v>44875</v>
      </c>
      <c r="B436">
        <v>282.75</v>
      </c>
      <c r="C436">
        <f t="shared" si="30"/>
        <v>7.3788546255506571E-2</v>
      </c>
      <c r="D436">
        <f t="shared" si="31"/>
        <v>0.87952594251586458</v>
      </c>
      <c r="E436">
        <f t="shared" si="32"/>
        <v>1.2566567127037467</v>
      </c>
      <c r="F436">
        <f t="shared" si="33"/>
        <v>-0.30010643827817574</v>
      </c>
      <c r="G436">
        <f t="shared" si="34"/>
        <v>0.41514589724377693</v>
      </c>
      <c r="H436" s="1"/>
    </row>
    <row r="437" spans="1:8" x14ac:dyDescent="0.45">
      <c r="A437" s="1">
        <v>44876</v>
      </c>
      <c r="B437">
        <v>287.95999999999998</v>
      </c>
      <c r="C437">
        <f t="shared" si="30"/>
        <v>1.8426171529619673E-2</v>
      </c>
      <c r="D437">
        <f t="shared" si="31"/>
        <v>0.89573223839741234</v>
      </c>
      <c r="E437">
        <f t="shared" si="32"/>
        <v>1.2566567127037467</v>
      </c>
      <c r="F437">
        <f t="shared" si="33"/>
        <v>-0.28721007945741284</v>
      </c>
      <c r="G437">
        <f t="shared" si="34"/>
        <v>0.39955475728086565</v>
      </c>
      <c r="H437" s="1"/>
    </row>
    <row r="438" spans="1:8" x14ac:dyDescent="0.45">
      <c r="A438" s="1">
        <v>44879</v>
      </c>
      <c r="B438">
        <v>285.44</v>
      </c>
      <c r="C438">
        <f t="shared" si="30"/>
        <v>-8.751215446589744E-3</v>
      </c>
      <c r="D438">
        <f t="shared" si="31"/>
        <v>0.88789349259674055</v>
      </c>
      <c r="E438">
        <f t="shared" si="32"/>
        <v>1.2566567127037467</v>
      </c>
      <c r="F438">
        <f t="shared" si="33"/>
        <v>-0.29344785762023862</v>
      </c>
      <c r="G438">
        <f t="shared" si="34"/>
        <v>0.38843688359914824</v>
      </c>
      <c r="H438" s="1"/>
    </row>
    <row r="439" spans="1:8" x14ac:dyDescent="0.45">
      <c r="A439" s="1">
        <v>44880</v>
      </c>
      <c r="B439">
        <v>289.39</v>
      </c>
      <c r="C439">
        <f t="shared" si="30"/>
        <v>1.3838284753363128E-2</v>
      </c>
      <c r="D439">
        <f t="shared" si="31"/>
        <v>0.90018041557795236</v>
      </c>
      <c r="E439">
        <f t="shared" si="32"/>
        <v>1.2566567127037467</v>
      </c>
      <c r="F439">
        <f t="shared" si="33"/>
        <v>-0.28367038788088872</v>
      </c>
      <c r="G439">
        <f t="shared" si="34"/>
        <v>0.38996076263869967</v>
      </c>
      <c r="H439" s="1"/>
    </row>
    <row r="440" spans="1:8" x14ac:dyDescent="0.45">
      <c r="A440" s="1">
        <v>44881</v>
      </c>
      <c r="B440">
        <v>285.44</v>
      </c>
      <c r="C440">
        <f t="shared" si="30"/>
        <v>-1.364940046304286E-2</v>
      </c>
      <c r="D440">
        <f t="shared" si="31"/>
        <v>0.88789349259674055</v>
      </c>
      <c r="E440">
        <f t="shared" si="32"/>
        <v>1.2566567127037467</v>
      </c>
      <c r="F440">
        <f t="shared" si="33"/>
        <v>-0.29344785762023862</v>
      </c>
      <c r="G440">
        <f t="shared" si="34"/>
        <v>0.39398134406554303</v>
      </c>
      <c r="H440" s="1"/>
    </row>
    <row r="441" spans="1:8" x14ac:dyDescent="0.45">
      <c r="A441" s="1">
        <v>44882</v>
      </c>
      <c r="B441">
        <v>284.81</v>
      </c>
      <c r="C441">
        <f t="shared" si="30"/>
        <v>-2.2071188340807568E-3</v>
      </c>
      <c r="D441">
        <f t="shared" si="31"/>
        <v>0.88593380614657258</v>
      </c>
      <c r="E441">
        <f t="shared" si="32"/>
        <v>1.2566567127037467</v>
      </c>
      <c r="F441">
        <f t="shared" si="33"/>
        <v>-0.29500730216094506</v>
      </c>
      <c r="G441">
        <f t="shared" si="34"/>
        <v>0.39332713987037743</v>
      </c>
      <c r="H441" s="1"/>
    </row>
    <row r="442" spans="1:8" x14ac:dyDescent="0.45">
      <c r="A442" s="1">
        <v>44883</v>
      </c>
      <c r="B442">
        <v>284.82</v>
      </c>
      <c r="C442">
        <f t="shared" si="30"/>
        <v>3.5111126716058649E-5</v>
      </c>
      <c r="D442">
        <f t="shared" si="31"/>
        <v>0.88596491228070218</v>
      </c>
      <c r="E442">
        <f t="shared" si="32"/>
        <v>1.2566567127037467</v>
      </c>
      <c r="F442">
        <f t="shared" si="33"/>
        <v>-0.29498254907299737</v>
      </c>
      <c r="G442">
        <f t="shared" si="34"/>
        <v>0.38599467483095812</v>
      </c>
      <c r="H442" s="1"/>
    </row>
    <row r="443" spans="1:8" x14ac:dyDescent="0.45">
      <c r="A443" s="1">
        <v>44886</v>
      </c>
      <c r="B443">
        <v>281.89</v>
      </c>
      <c r="C443">
        <f t="shared" si="30"/>
        <v>-1.0287198932659281E-2</v>
      </c>
      <c r="D443">
        <f t="shared" si="31"/>
        <v>0.8768508149807146</v>
      </c>
      <c r="E443">
        <f t="shared" si="32"/>
        <v>1.2566567127037467</v>
      </c>
      <c r="F443">
        <f t="shared" si="33"/>
        <v>-0.30223520384167979</v>
      </c>
      <c r="G443">
        <f t="shared" si="34"/>
        <v>0.38677339908336661</v>
      </c>
      <c r="H443" s="1"/>
    </row>
    <row r="444" spans="1:8" x14ac:dyDescent="0.45">
      <c r="A444" s="1">
        <v>44887</v>
      </c>
      <c r="B444">
        <v>285.95</v>
      </c>
      <c r="C444">
        <f t="shared" si="30"/>
        <v>1.4402781226719563E-2</v>
      </c>
      <c r="D444">
        <f t="shared" si="31"/>
        <v>0.88947990543735256</v>
      </c>
      <c r="E444">
        <f t="shared" si="32"/>
        <v>1.2566567127037467</v>
      </c>
      <c r="F444">
        <f t="shared" si="33"/>
        <v>-0.29218545013490493</v>
      </c>
      <c r="G444">
        <f t="shared" si="34"/>
        <v>0.38313418142604483</v>
      </c>
      <c r="H444" s="1"/>
    </row>
    <row r="445" spans="1:8" x14ac:dyDescent="0.45">
      <c r="A445" s="1">
        <v>44888</v>
      </c>
      <c r="B445">
        <v>288.82</v>
      </c>
      <c r="C445">
        <f t="shared" si="30"/>
        <v>1.0036719706242314E-2</v>
      </c>
      <c r="D445">
        <f t="shared" si="31"/>
        <v>0.89840736593256221</v>
      </c>
      <c r="E445">
        <f t="shared" si="32"/>
        <v>1.2566567127037467</v>
      </c>
      <c r="F445">
        <f t="shared" si="33"/>
        <v>-0.28508131389390889</v>
      </c>
      <c r="G445">
        <f t="shared" si="34"/>
        <v>0.37480149669542207</v>
      </c>
      <c r="H445" s="1"/>
    </row>
    <row r="446" spans="1:8" x14ac:dyDescent="0.45">
      <c r="A446" s="1">
        <v>44890</v>
      </c>
      <c r="B446">
        <v>286.92</v>
      </c>
      <c r="C446">
        <f t="shared" si="30"/>
        <v>-6.5784917941970056E-3</v>
      </c>
      <c r="D446">
        <f t="shared" si="31"/>
        <v>0.89249720044792868</v>
      </c>
      <c r="E446">
        <f t="shared" si="32"/>
        <v>1.2566567127037467</v>
      </c>
      <c r="F446">
        <f t="shared" si="33"/>
        <v>-0.28978440060397592</v>
      </c>
      <c r="G446">
        <f t="shared" si="34"/>
        <v>0.36863392833882275</v>
      </c>
      <c r="H446" s="1"/>
    </row>
    <row r="447" spans="1:8" x14ac:dyDescent="0.45">
      <c r="A447" s="1">
        <v>44893</v>
      </c>
      <c r="B447">
        <v>282.70999999999998</v>
      </c>
      <c r="C447">
        <f t="shared" si="30"/>
        <v>-1.4673079604070938E-2</v>
      </c>
      <c r="D447">
        <f t="shared" si="31"/>
        <v>0.87940151797934574</v>
      </c>
      <c r="E447">
        <f t="shared" si="32"/>
        <v>1.2566567127037467</v>
      </c>
      <c r="F447">
        <f t="shared" si="33"/>
        <v>-0.30020545062996673</v>
      </c>
      <c r="G447">
        <f t="shared" si="34"/>
        <v>0.35817243578029617</v>
      </c>
      <c r="H447" s="1"/>
    </row>
    <row r="448" spans="1:8" x14ac:dyDescent="0.45">
      <c r="A448" s="1">
        <v>44894</v>
      </c>
      <c r="B448">
        <v>280.57</v>
      </c>
      <c r="C448">
        <f t="shared" si="30"/>
        <v>-7.5695942838951424E-3</v>
      </c>
      <c r="D448">
        <f t="shared" si="31"/>
        <v>0.87274480527560061</v>
      </c>
      <c r="E448">
        <f t="shared" si="32"/>
        <v>1.2566567127037467</v>
      </c>
      <c r="F448">
        <f t="shared" si="33"/>
        <v>-0.30550261145077906</v>
      </c>
      <c r="G448">
        <f t="shared" si="34"/>
        <v>0.35663615203971322</v>
      </c>
      <c r="H448" s="1"/>
    </row>
    <row r="449" spans="1:8" x14ac:dyDescent="0.45">
      <c r="A449" s="1">
        <v>44895</v>
      </c>
      <c r="B449">
        <v>293.36</v>
      </c>
      <c r="C449">
        <f t="shared" si="30"/>
        <v>4.5585771821648802E-2</v>
      </c>
      <c r="D449">
        <f t="shared" si="31"/>
        <v>0.91252955082742349</v>
      </c>
      <c r="E449">
        <f t="shared" si="32"/>
        <v>1.2566567127037467</v>
      </c>
      <c r="F449">
        <f t="shared" si="33"/>
        <v>-0.27384341196564332</v>
      </c>
      <c r="G449">
        <f t="shared" si="34"/>
        <v>0.38763347993413344</v>
      </c>
      <c r="H449" s="1"/>
    </row>
    <row r="450" spans="1:8" x14ac:dyDescent="0.45">
      <c r="A450" s="1">
        <v>44896</v>
      </c>
      <c r="B450">
        <v>293.72000000000003</v>
      </c>
      <c r="C450">
        <f t="shared" si="30"/>
        <v>1.2271611671665905E-3</v>
      </c>
      <c r="D450">
        <f t="shared" si="31"/>
        <v>0.91364937165609084</v>
      </c>
      <c r="E450">
        <f t="shared" si="32"/>
        <v>1.2566567127037467</v>
      </c>
      <c r="F450">
        <f t="shared" si="33"/>
        <v>-0.27295230079952537</v>
      </c>
      <c r="G450">
        <f t="shared" si="34"/>
        <v>0.3613447916009826</v>
      </c>
      <c r="H450" s="1"/>
    </row>
    <row r="451" spans="1:8" x14ac:dyDescent="0.45">
      <c r="A451" s="1">
        <v>44897</v>
      </c>
      <c r="B451">
        <v>292.55</v>
      </c>
      <c r="C451">
        <f t="shared" si="30"/>
        <v>-3.98338553724642E-3</v>
      </c>
      <c r="D451">
        <f t="shared" si="31"/>
        <v>0.91000995396292172</v>
      </c>
      <c r="E451">
        <f t="shared" si="32"/>
        <v>1.2566567127037467</v>
      </c>
      <c r="F451">
        <f t="shared" si="33"/>
        <v>-0.2758484120894088</v>
      </c>
      <c r="G451">
        <f t="shared" si="34"/>
        <v>0.35126233907342663</v>
      </c>
      <c r="H451" s="1"/>
    </row>
    <row r="452" spans="1:8" x14ac:dyDescent="0.45">
      <c r="A452" s="1">
        <v>44900</v>
      </c>
      <c r="B452">
        <v>287.64</v>
      </c>
      <c r="C452">
        <f t="shared" ref="C452:C515" si="35">IFERROR((B452/B451)-1,"")</f>
        <v>-1.6783455819518123E-2</v>
      </c>
      <c r="D452">
        <f t="shared" ref="D452:D515" si="36">D451*(1+C452)</f>
        <v>0.89473684210526327</v>
      </c>
      <c r="E452">
        <f t="shared" ref="E452:E515" si="37">MAX(E451,D452)</f>
        <v>1.2566567127037467</v>
      </c>
      <c r="F452">
        <f t="shared" ref="F452:F515" si="38">D452/E452-1</f>
        <v>-0.28800217827174013</v>
      </c>
      <c r="G452">
        <f t="shared" si="34"/>
        <v>0.35811330706711203</v>
      </c>
      <c r="H452" s="1"/>
    </row>
    <row r="453" spans="1:8" x14ac:dyDescent="0.45">
      <c r="A453" s="1">
        <v>44901</v>
      </c>
      <c r="B453">
        <v>281.68</v>
      </c>
      <c r="C453">
        <f t="shared" si="35"/>
        <v>-2.0720344875538754E-2</v>
      </c>
      <c r="D453">
        <f t="shared" si="36"/>
        <v>0.87619758616399179</v>
      </c>
      <c r="E453">
        <f t="shared" si="37"/>
        <v>1.2566567127037467</v>
      </c>
      <c r="F453">
        <f t="shared" si="38"/>
        <v>-0.30275501868858201</v>
      </c>
      <c r="G453">
        <f t="shared" si="34"/>
        <v>0.36793134609838091</v>
      </c>
      <c r="H453" s="1"/>
    </row>
    <row r="454" spans="1:8" x14ac:dyDescent="0.45">
      <c r="A454" s="1">
        <v>44902</v>
      </c>
      <c r="B454">
        <v>280.52999999999997</v>
      </c>
      <c r="C454">
        <f t="shared" si="35"/>
        <v>-4.0826469752912597E-3</v>
      </c>
      <c r="D454">
        <f t="shared" si="36"/>
        <v>0.87262038073908188</v>
      </c>
      <c r="E454">
        <f t="shared" si="37"/>
        <v>1.2566567127037467</v>
      </c>
      <c r="F454">
        <f t="shared" si="38"/>
        <v>-0.30560162380257005</v>
      </c>
      <c r="G454">
        <f t="shared" si="34"/>
        <v>0.36831266851876332</v>
      </c>
      <c r="H454" s="1"/>
    </row>
    <row r="455" spans="1:8" x14ac:dyDescent="0.45">
      <c r="A455" s="1">
        <v>44903</v>
      </c>
      <c r="B455">
        <v>283.85000000000002</v>
      </c>
      <c r="C455">
        <f t="shared" si="35"/>
        <v>1.1834741382383607E-2</v>
      </c>
      <c r="D455">
        <f t="shared" si="36"/>
        <v>0.88294761727012605</v>
      </c>
      <c r="E455">
        <f t="shared" si="37"/>
        <v>1.2566567127037467</v>
      </c>
      <c r="F455">
        <f t="shared" si="38"/>
        <v>-0.29738359860392638</v>
      </c>
      <c r="G455">
        <f t="shared" si="34"/>
        <v>0.35715279984257209</v>
      </c>
      <c r="H455" s="1"/>
    </row>
    <row r="456" spans="1:8" x14ac:dyDescent="0.45">
      <c r="A456" s="1">
        <v>44904</v>
      </c>
      <c r="B456">
        <v>282.04000000000002</v>
      </c>
      <c r="C456">
        <f t="shared" si="35"/>
        <v>-6.3766073630439069E-3</v>
      </c>
      <c r="D456">
        <f t="shared" si="36"/>
        <v>0.87731740699265925</v>
      </c>
      <c r="E456">
        <f t="shared" si="37"/>
        <v>1.2566567127037467</v>
      </c>
      <c r="F456">
        <f t="shared" si="38"/>
        <v>-0.30186390752246406</v>
      </c>
      <c r="G456">
        <f t="shared" si="34"/>
        <v>0.24518416048362437</v>
      </c>
      <c r="H456" s="1"/>
    </row>
    <row r="457" spans="1:8" x14ac:dyDescent="0.45">
      <c r="A457" s="1">
        <v>44907</v>
      </c>
      <c r="B457">
        <v>285.58</v>
      </c>
      <c r="C457">
        <f t="shared" si="35"/>
        <v>1.2551411147354807E-2</v>
      </c>
      <c r="D457">
        <f t="shared" si="36"/>
        <v>0.88832897847455539</v>
      </c>
      <c r="E457">
        <f t="shared" si="37"/>
        <v>1.2566567127037467</v>
      </c>
      <c r="F457">
        <f t="shared" si="38"/>
        <v>-0.29310131438897069</v>
      </c>
      <c r="G457">
        <f t="shared" si="34"/>
        <v>0.24015938198613673</v>
      </c>
      <c r="H457" s="1"/>
    </row>
    <row r="458" spans="1:8" x14ac:dyDescent="0.45">
      <c r="A458" s="1">
        <v>44908</v>
      </c>
      <c r="B458">
        <v>288.64999999999998</v>
      </c>
      <c r="C458">
        <f t="shared" si="35"/>
        <v>1.0750052524686637E-2</v>
      </c>
      <c r="D458">
        <f t="shared" si="36"/>
        <v>0.89787856165235813</v>
      </c>
      <c r="E458">
        <f t="shared" si="37"/>
        <v>1.2566567127037467</v>
      </c>
      <c r="F458">
        <f t="shared" si="38"/>
        <v>-0.28550211638902012</v>
      </c>
      <c r="G458">
        <f t="shared" si="34"/>
        <v>0.24104026502259748</v>
      </c>
      <c r="H458" s="1"/>
    </row>
    <row r="459" spans="1:8" x14ac:dyDescent="0.45">
      <c r="A459" s="1">
        <v>44909</v>
      </c>
      <c r="B459">
        <v>286.51</v>
      </c>
      <c r="C459">
        <f t="shared" si="35"/>
        <v>-7.4138229689935109E-3</v>
      </c>
      <c r="D459">
        <f t="shared" si="36"/>
        <v>0.891221848948613</v>
      </c>
      <c r="E459">
        <f t="shared" si="37"/>
        <v>1.2566567127037467</v>
      </c>
      <c r="F459">
        <f t="shared" si="38"/>
        <v>-0.29079927720983245</v>
      </c>
      <c r="G459">
        <f t="shared" si="34"/>
        <v>0.23741597638122136</v>
      </c>
      <c r="H459" s="1"/>
    </row>
    <row r="460" spans="1:8" x14ac:dyDescent="0.45">
      <c r="A460" s="1">
        <v>44910</v>
      </c>
      <c r="B460">
        <v>276.89</v>
      </c>
      <c r="C460">
        <f t="shared" si="35"/>
        <v>-3.3576489476807136E-2</v>
      </c>
      <c r="D460">
        <f t="shared" si="36"/>
        <v>0.86129774791588931</v>
      </c>
      <c r="E460">
        <f t="shared" si="37"/>
        <v>1.2566567127037467</v>
      </c>
      <c r="F460">
        <f t="shared" si="38"/>
        <v>-0.31461174781554058</v>
      </c>
      <c r="G460">
        <f t="shared" si="34"/>
        <v>0.26148767121280841</v>
      </c>
      <c r="H460" s="1"/>
    </row>
    <row r="461" spans="1:8" x14ac:dyDescent="0.45">
      <c r="A461" s="1">
        <v>44911</v>
      </c>
      <c r="B461">
        <v>274.25</v>
      </c>
      <c r="C461">
        <f t="shared" si="35"/>
        <v>-9.5344721730650228E-3</v>
      </c>
      <c r="D461">
        <f t="shared" si="36"/>
        <v>0.85308572850566167</v>
      </c>
      <c r="E461">
        <f t="shared" si="37"/>
        <v>1.2566567127037467</v>
      </c>
      <c r="F461">
        <f t="shared" si="38"/>
        <v>-0.32114656303373901</v>
      </c>
      <c r="G461">
        <f t="shared" si="34"/>
        <v>0.2630795358851945</v>
      </c>
      <c r="H461" s="1"/>
    </row>
    <row r="462" spans="1:8" x14ac:dyDescent="0.45">
      <c r="A462" s="1">
        <v>44914</v>
      </c>
      <c r="B462">
        <v>269.75</v>
      </c>
      <c r="C462">
        <f t="shared" si="35"/>
        <v>-1.6408386508659945E-2</v>
      </c>
      <c r="D462">
        <f t="shared" si="36"/>
        <v>0.83908796814731901</v>
      </c>
      <c r="E462">
        <f t="shared" si="37"/>
        <v>1.2566567127037467</v>
      </c>
      <c r="F462">
        <f t="shared" si="38"/>
        <v>-0.33228545261021369</v>
      </c>
      <c r="G462">
        <f t="shared" si="34"/>
        <v>0.26802182852045925</v>
      </c>
      <c r="H462" s="1"/>
    </row>
    <row r="463" spans="1:8" x14ac:dyDescent="0.45">
      <c r="A463" s="1">
        <v>44915</v>
      </c>
      <c r="B463">
        <v>269.54000000000002</v>
      </c>
      <c r="C463">
        <f t="shared" si="35"/>
        <v>-7.7849860982381891E-4</v>
      </c>
      <c r="D463">
        <f t="shared" si="36"/>
        <v>0.83843473933059642</v>
      </c>
      <c r="E463">
        <f t="shared" si="37"/>
        <v>1.2566567127037467</v>
      </c>
      <c r="F463">
        <f t="shared" si="38"/>
        <v>-0.33280526745711569</v>
      </c>
      <c r="G463">
        <f t="shared" si="34"/>
        <v>0.26651629061093096</v>
      </c>
      <c r="H463" s="1"/>
    </row>
    <row r="464" spans="1:8" x14ac:dyDescent="0.45">
      <c r="A464" s="1">
        <v>44916</v>
      </c>
      <c r="B464">
        <v>273.45</v>
      </c>
      <c r="C464">
        <f t="shared" si="35"/>
        <v>1.4506195740891847E-2</v>
      </c>
      <c r="D464">
        <f t="shared" si="36"/>
        <v>0.85059723777528973</v>
      </c>
      <c r="E464">
        <f t="shared" si="37"/>
        <v>1.2566567127037467</v>
      </c>
      <c r="F464">
        <f t="shared" si="38"/>
        <v>-0.32312681006955668</v>
      </c>
      <c r="G464">
        <f t="shared" si="34"/>
        <v>0.26660148325498656</v>
      </c>
      <c r="H464" s="1"/>
    </row>
    <row r="465" spans="1:8" x14ac:dyDescent="0.45">
      <c r="A465" s="1">
        <v>44917</v>
      </c>
      <c r="B465">
        <v>266.76</v>
      </c>
      <c r="C465">
        <f t="shared" si="35"/>
        <v>-2.4465167306637392E-2</v>
      </c>
      <c r="D465">
        <f t="shared" si="36"/>
        <v>0.82978723404255361</v>
      </c>
      <c r="E465">
        <f t="shared" si="37"/>
        <v>1.2566567127037467</v>
      </c>
      <c r="F465">
        <f t="shared" si="38"/>
        <v>-0.33968662590658227</v>
      </c>
      <c r="G465">
        <f t="shared" si="34"/>
        <v>0.27380303838008924</v>
      </c>
      <c r="H465" s="1"/>
    </row>
    <row r="466" spans="1:8" x14ac:dyDescent="0.45">
      <c r="A466" s="1">
        <v>44918</v>
      </c>
      <c r="B466">
        <v>267.36</v>
      </c>
      <c r="C466">
        <f t="shared" si="35"/>
        <v>2.2492127755286973E-3</v>
      </c>
      <c r="D466">
        <f t="shared" si="36"/>
        <v>0.83165360209033279</v>
      </c>
      <c r="E466">
        <f t="shared" si="37"/>
        <v>1.2566567127037467</v>
      </c>
      <c r="F466">
        <f t="shared" si="38"/>
        <v>-0.33820144062971891</v>
      </c>
      <c r="G466">
        <f t="shared" si="34"/>
        <v>0.27441774409561853</v>
      </c>
      <c r="H466" s="1"/>
    </row>
    <row r="467" spans="1:8" x14ac:dyDescent="0.45">
      <c r="A467" s="1">
        <v>44922</v>
      </c>
      <c r="B467">
        <v>263.58</v>
      </c>
      <c r="C467">
        <f t="shared" si="35"/>
        <v>-1.4138240574506411E-2</v>
      </c>
      <c r="D467">
        <f t="shared" si="36"/>
        <v>0.81989548338932483</v>
      </c>
      <c r="E467">
        <f t="shared" si="37"/>
        <v>1.2566567127037467</v>
      </c>
      <c r="F467">
        <f t="shared" si="38"/>
        <v>-0.34755810787395769</v>
      </c>
      <c r="G467">
        <f t="shared" si="34"/>
        <v>0.27413231784733261</v>
      </c>
      <c r="H467" s="1"/>
    </row>
    <row r="468" spans="1:8" x14ac:dyDescent="0.45">
      <c r="A468" s="1">
        <v>44923</v>
      </c>
      <c r="B468">
        <v>260.10000000000002</v>
      </c>
      <c r="C468">
        <f t="shared" si="35"/>
        <v>-1.3202822672433223E-2</v>
      </c>
      <c r="D468">
        <f t="shared" si="36"/>
        <v>0.80907054871220663</v>
      </c>
      <c r="E468">
        <f t="shared" si="37"/>
        <v>1.2566567127037467</v>
      </c>
      <c r="F468">
        <f t="shared" si="38"/>
        <v>-0.35617218247976468</v>
      </c>
      <c r="G468">
        <f t="shared" si="34"/>
        <v>0.27600353267809435</v>
      </c>
      <c r="H468" s="1"/>
    </row>
    <row r="469" spans="1:8" x14ac:dyDescent="0.45">
      <c r="A469" s="1">
        <v>44924</v>
      </c>
      <c r="B469">
        <v>266.44</v>
      </c>
      <c r="C469">
        <f t="shared" si="35"/>
        <v>2.4375240292195288E-2</v>
      </c>
      <c r="D469">
        <f t="shared" si="36"/>
        <v>0.82879183775040499</v>
      </c>
      <c r="E469">
        <f t="shared" si="37"/>
        <v>1.2566567127037467</v>
      </c>
      <c r="F469">
        <f t="shared" si="38"/>
        <v>-0.34047872472090923</v>
      </c>
      <c r="G469">
        <f t="shared" si="34"/>
        <v>0.23270453287808879</v>
      </c>
      <c r="H469" s="1"/>
    </row>
    <row r="470" spans="1:8" x14ac:dyDescent="0.45">
      <c r="A470" s="1">
        <v>44925</v>
      </c>
      <c r="B470">
        <v>266.27999999999997</v>
      </c>
      <c r="C470">
        <f t="shared" si="35"/>
        <v>-6.0051043386888381E-4</v>
      </c>
      <c r="D470">
        <f t="shared" si="36"/>
        <v>0.82829413960433051</v>
      </c>
      <c r="E470">
        <f t="shared" si="37"/>
        <v>1.2566567127037467</v>
      </c>
      <c r="F470">
        <f t="shared" si="38"/>
        <v>-0.34087477412807288</v>
      </c>
      <c r="G470">
        <f t="shared" ref="G470:G533" si="39">_xlfn.STDEV.S(C451:C470)*SQRT(252)</f>
        <v>0.23217709480048132</v>
      </c>
      <c r="H470" s="1"/>
    </row>
    <row r="471" spans="1:8" x14ac:dyDescent="0.45">
      <c r="A471" s="1">
        <v>44929</v>
      </c>
      <c r="B471">
        <v>264.48</v>
      </c>
      <c r="C471">
        <f t="shared" si="35"/>
        <v>-6.7598017124829157E-3</v>
      </c>
      <c r="D471">
        <f t="shared" si="36"/>
        <v>0.82269503546099365</v>
      </c>
      <c r="E471">
        <f t="shared" si="37"/>
        <v>1.2566567127037467</v>
      </c>
      <c r="F471">
        <f t="shared" si="38"/>
        <v>-0.34533032995866253</v>
      </c>
      <c r="G471">
        <f t="shared" si="39"/>
        <v>0.23225833040241062</v>
      </c>
      <c r="H471" s="1"/>
    </row>
    <row r="472" spans="1:8" x14ac:dyDescent="0.45">
      <c r="A472" s="1">
        <v>44930</v>
      </c>
      <c r="B472">
        <v>265.74</v>
      </c>
      <c r="C472">
        <f t="shared" si="35"/>
        <v>4.7640653357532425E-3</v>
      </c>
      <c r="D472">
        <f t="shared" si="36"/>
        <v>0.8266144083613296</v>
      </c>
      <c r="E472">
        <f t="shared" si="37"/>
        <v>1.2566567127037467</v>
      </c>
      <c r="F472">
        <f t="shared" si="38"/>
        <v>-0.34221144087724964</v>
      </c>
      <c r="G472">
        <f t="shared" si="39"/>
        <v>0.23025675062553103</v>
      </c>
      <c r="H472" s="1"/>
    </row>
    <row r="473" spans="1:8" x14ac:dyDescent="0.45">
      <c r="A473" s="1">
        <v>44931</v>
      </c>
      <c r="B473">
        <v>261.58</v>
      </c>
      <c r="C473">
        <f t="shared" si="35"/>
        <v>-1.5654399036652444E-2</v>
      </c>
      <c r="D473">
        <f t="shared" si="36"/>
        <v>0.81367425656339498</v>
      </c>
      <c r="E473">
        <f t="shared" si="37"/>
        <v>1.2566567127037467</v>
      </c>
      <c r="F473">
        <f t="shared" si="38"/>
        <v>-0.35250872546350176</v>
      </c>
      <c r="G473">
        <f t="shared" si="39"/>
        <v>0.22599704444184257</v>
      </c>
      <c r="H473" s="1"/>
    </row>
    <row r="474" spans="1:8" x14ac:dyDescent="0.45">
      <c r="A474" s="1">
        <v>44932</v>
      </c>
      <c r="B474">
        <v>268.8</v>
      </c>
      <c r="C474">
        <f t="shared" si="35"/>
        <v>2.7601498585518858E-2</v>
      </c>
      <c r="D474">
        <f t="shared" si="36"/>
        <v>0.83613288540500263</v>
      </c>
      <c r="E474">
        <f t="shared" si="37"/>
        <v>1.2566567127037467</v>
      </c>
      <c r="F474">
        <f t="shared" si="38"/>
        <v>-0.33463699596524688</v>
      </c>
      <c r="G474">
        <f t="shared" si="39"/>
        <v>0.25162735884040094</v>
      </c>
      <c r="H474" s="1"/>
    </row>
    <row r="475" spans="1:8" x14ac:dyDescent="0.45">
      <c r="A475" s="1">
        <v>44935</v>
      </c>
      <c r="B475">
        <v>270.54000000000002</v>
      </c>
      <c r="C475">
        <f t="shared" si="35"/>
        <v>6.473214285714235E-3</v>
      </c>
      <c r="D475">
        <f t="shared" si="36"/>
        <v>0.84154535274356179</v>
      </c>
      <c r="E475">
        <f t="shared" si="37"/>
        <v>1.2566567127037467</v>
      </c>
      <c r="F475">
        <f t="shared" si="38"/>
        <v>-0.33032995866234327</v>
      </c>
      <c r="G475">
        <f t="shared" si="39"/>
        <v>0.2484128823284289</v>
      </c>
      <c r="H475" s="1"/>
    </row>
    <row r="476" spans="1:8" x14ac:dyDescent="0.45">
      <c r="A476" s="1">
        <v>44936</v>
      </c>
      <c r="B476">
        <v>272.83</v>
      </c>
      <c r="C476">
        <f t="shared" si="35"/>
        <v>8.4645523767279407E-3</v>
      </c>
      <c r="D476">
        <f t="shared" si="36"/>
        <v>0.84866865745925169</v>
      </c>
      <c r="E476">
        <f t="shared" si="37"/>
        <v>1.2566567127037467</v>
      </c>
      <c r="F476">
        <f t="shared" si="38"/>
        <v>-0.3246615015223151</v>
      </c>
      <c r="G476">
        <f t="shared" si="39"/>
        <v>0.25074336117220275</v>
      </c>
      <c r="H476" s="1"/>
    </row>
    <row r="477" spans="1:8" x14ac:dyDescent="0.45">
      <c r="A477" s="1">
        <v>44937</v>
      </c>
      <c r="B477">
        <v>277.55</v>
      </c>
      <c r="C477">
        <f t="shared" si="35"/>
        <v>1.7300150276729154E-2</v>
      </c>
      <c r="D477">
        <f t="shared" si="36"/>
        <v>0.86335075276844675</v>
      </c>
      <c r="E477">
        <f t="shared" si="37"/>
        <v>1.2566567127037467</v>
      </c>
      <c r="F477">
        <f t="shared" si="38"/>
        <v>-0.3129780440109905</v>
      </c>
      <c r="G477">
        <f t="shared" si="39"/>
        <v>0.25481640141705902</v>
      </c>
      <c r="H477" s="1"/>
    </row>
    <row r="478" spans="1:8" x14ac:dyDescent="0.45">
      <c r="A478" s="1">
        <v>44938</v>
      </c>
      <c r="B478">
        <v>279.05</v>
      </c>
      <c r="C478">
        <f t="shared" si="35"/>
        <v>5.4044316339398879E-3</v>
      </c>
      <c r="D478">
        <f t="shared" si="36"/>
        <v>0.86801667288789441</v>
      </c>
      <c r="E478">
        <f t="shared" si="37"/>
        <v>1.2566567127037467</v>
      </c>
      <c r="F478">
        <f t="shared" si="38"/>
        <v>-0.30926508081883219</v>
      </c>
      <c r="G478">
        <f t="shared" si="39"/>
        <v>0.25215553822020648</v>
      </c>
      <c r="H478" s="1"/>
    </row>
    <row r="479" spans="1:8" x14ac:dyDescent="0.45">
      <c r="A479" s="1">
        <v>44939</v>
      </c>
      <c r="B479">
        <v>280.97000000000003</v>
      </c>
      <c r="C479">
        <f t="shared" si="35"/>
        <v>6.8804873678551814E-3</v>
      </c>
      <c r="D479">
        <f t="shared" si="36"/>
        <v>0.87398905064078725</v>
      </c>
      <c r="E479">
        <f t="shared" si="37"/>
        <v>1.2566567127037467</v>
      </c>
      <c r="F479">
        <f t="shared" si="38"/>
        <v>-0.30451248793286978</v>
      </c>
      <c r="G479">
        <f t="shared" si="39"/>
        <v>0.25286556286151868</v>
      </c>
      <c r="H479" s="1"/>
    </row>
    <row r="480" spans="1:8" x14ac:dyDescent="0.45">
      <c r="A480" s="1">
        <v>44943</v>
      </c>
      <c r="B480">
        <v>281.54000000000002</v>
      </c>
      <c r="C480">
        <f t="shared" si="35"/>
        <v>2.0286863366194563E-3</v>
      </c>
      <c r="D480">
        <f t="shared" si="36"/>
        <v>0.87576210028617718</v>
      </c>
      <c r="E480">
        <f t="shared" si="37"/>
        <v>1.2566567127037467</v>
      </c>
      <c r="F480">
        <f t="shared" si="38"/>
        <v>-0.30310156191984972</v>
      </c>
      <c r="G480">
        <f t="shared" si="39"/>
        <v>0.22138148005557373</v>
      </c>
      <c r="H480" s="1"/>
    </row>
    <row r="481" spans="1:8" x14ac:dyDescent="0.45">
      <c r="A481" s="1">
        <v>44944</v>
      </c>
      <c r="B481">
        <v>277.88</v>
      </c>
      <c r="C481">
        <f t="shared" si="35"/>
        <v>-1.2999928962136864E-2</v>
      </c>
      <c r="D481">
        <f t="shared" si="36"/>
        <v>0.86437725519472508</v>
      </c>
      <c r="E481">
        <f t="shared" si="37"/>
        <v>1.2566567127037467</v>
      </c>
      <c r="F481">
        <f t="shared" si="38"/>
        <v>-0.31216119210871585</v>
      </c>
      <c r="G481">
        <f t="shared" si="39"/>
        <v>0.22388076822161324</v>
      </c>
      <c r="H481" s="1"/>
    </row>
    <row r="482" spans="1:8" x14ac:dyDescent="0.45">
      <c r="A482" s="1">
        <v>44945</v>
      </c>
      <c r="B482">
        <v>275.14999999999998</v>
      </c>
      <c r="C482">
        <f t="shared" si="35"/>
        <v>-9.8243846264575163E-3</v>
      </c>
      <c r="D482">
        <f t="shared" si="36"/>
        <v>0.85588528057733049</v>
      </c>
      <c r="E482">
        <f t="shared" si="37"/>
        <v>1.2566567127037467</v>
      </c>
      <c r="F482">
        <f t="shared" si="38"/>
        <v>-0.31891878511844385</v>
      </c>
      <c r="G482">
        <f t="shared" si="39"/>
        <v>0.21833860690011941</v>
      </c>
      <c r="H482" s="1"/>
    </row>
    <row r="483" spans="1:8" x14ac:dyDescent="0.45">
      <c r="A483" s="1">
        <v>44946</v>
      </c>
      <c r="B483">
        <v>282.68</v>
      </c>
      <c r="C483">
        <f t="shared" si="35"/>
        <v>2.7366890786843623E-2</v>
      </c>
      <c r="D483">
        <f t="shared" si="36"/>
        <v>0.87930819957695727</v>
      </c>
      <c r="E483">
        <f t="shared" si="37"/>
        <v>1.2566567127037467</v>
      </c>
      <c r="F483">
        <f t="shared" si="38"/>
        <v>-0.30027970989380959</v>
      </c>
      <c r="G483">
        <f t="shared" si="39"/>
        <v>0.23720152233393121</v>
      </c>
      <c r="H483" s="1"/>
    </row>
    <row r="484" spans="1:8" x14ac:dyDescent="0.45">
      <c r="A484" s="1">
        <v>44949</v>
      </c>
      <c r="B484">
        <v>288.95999999999998</v>
      </c>
      <c r="C484">
        <f t="shared" si="35"/>
        <v>2.2215933210697481E-2</v>
      </c>
      <c r="D484">
        <f t="shared" si="36"/>
        <v>0.8988428518103776</v>
      </c>
      <c r="E484">
        <f t="shared" si="37"/>
        <v>1.2566567127037467</v>
      </c>
      <c r="F484">
        <f t="shared" si="38"/>
        <v>-0.28473477066264052</v>
      </c>
      <c r="G484">
        <f t="shared" si="39"/>
        <v>0.24386730701338399</v>
      </c>
      <c r="H484" s="1"/>
    </row>
    <row r="485" spans="1:8" x14ac:dyDescent="0.45">
      <c r="A485" s="1">
        <v>44950</v>
      </c>
      <c r="B485">
        <v>288.37</v>
      </c>
      <c r="C485">
        <f t="shared" si="35"/>
        <v>-2.0418050941305443E-3</v>
      </c>
      <c r="D485">
        <f t="shared" si="36"/>
        <v>0.89700758989672835</v>
      </c>
      <c r="E485">
        <f t="shared" si="37"/>
        <v>1.2566567127037467</v>
      </c>
      <c r="F485">
        <f t="shared" si="38"/>
        <v>-0.28619520285155597</v>
      </c>
      <c r="G485">
        <f t="shared" si="39"/>
        <v>0.22258722437963113</v>
      </c>
      <c r="H485" s="1"/>
    </row>
    <row r="486" spans="1:8" x14ac:dyDescent="0.45">
      <c r="A486" s="1">
        <v>44951</v>
      </c>
      <c r="B486">
        <v>287.73</v>
      </c>
      <c r="C486">
        <f t="shared" si="35"/>
        <v>-2.2193709470471612E-3</v>
      </c>
      <c r="D486">
        <f t="shared" si="36"/>
        <v>0.89501679731243078</v>
      </c>
      <c r="E486">
        <f t="shared" si="37"/>
        <v>1.2566567127037467</v>
      </c>
      <c r="F486">
        <f t="shared" si="38"/>
        <v>-0.28777940048021011</v>
      </c>
      <c r="G486">
        <f t="shared" si="39"/>
        <v>0.22361490094733713</v>
      </c>
      <c r="H486" s="1"/>
    </row>
    <row r="487" spans="1:8" x14ac:dyDescent="0.45">
      <c r="A487" s="1">
        <v>44952</v>
      </c>
      <c r="B487">
        <v>293.33999999999997</v>
      </c>
      <c r="C487">
        <f t="shared" si="35"/>
        <v>1.9497445521843293E-2</v>
      </c>
      <c r="D487">
        <f t="shared" si="36"/>
        <v>0.91246733855916451</v>
      </c>
      <c r="E487">
        <f t="shared" si="37"/>
        <v>1.2566567127037467</v>
      </c>
      <c r="F487">
        <f t="shared" si="38"/>
        <v>-0.27389291814153849</v>
      </c>
      <c r="G487">
        <f t="shared" si="39"/>
        <v>0.21972472779487323</v>
      </c>
      <c r="H487" s="1"/>
    </row>
    <row r="488" spans="1:8" x14ac:dyDescent="0.45">
      <c r="A488" s="1">
        <v>44953</v>
      </c>
      <c r="B488">
        <v>296.26</v>
      </c>
      <c r="C488">
        <f t="shared" si="35"/>
        <v>9.954319220017771E-3</v>
      </c>
      <c r="D488">
        <f t="shared" si="36"/>
        <v>0.92155032972502249</v>
      </c>
      <c r="E488">
        <f t="shared" si="37"/>
        <v>1.2566567127037467</v>
      </c>
      <c r="F488">
        <f t="shared" si="38"/>
        <v>-0.26666501646080376</v>
      </c>
      <c r="G488">
        <f t="shared" si="39"/>
        <v>0.20874786736479842</v>
      </c>
      <c r="H488" s="1"/>
    </row>
    <row r="489" spans="1:8" x14ac:dyDescent="0.45">
      <c r="A489" s="1">
        <v>44956</v>
      </c>
      <c r="B489">
        <v>290.27</v>
      </c>
      <c r="C489">
        <f t="shared" si="35"/>
        <v>-2.0218726794032249E-2</v>
      </c>
      <c r="D489">
        <f t="shared" si="36"/>
        <v>0.90291775538136188</v>
      </c>
      <c r="E489">
        <f t="shared" si="37"/>
        <v>1.2566567127037467</v>
      </c>
      <c r="F489">
        <f t="shared" si="38"/>
        <v>-0.28149211614148895</v>
      </c>
      <c r="G489">
        <f t="shared" si="39"/>
        <v>0.21821810837630462</v>
      </c>
      <c r="H489" s="1"/>
    </row>
    <row r="490" spans="1:8" x14ac:dyDescent="0.45">
      <c r="A490" s="1">
        <v>44957</v>
      </c>
      <c r="B490">
        <v>294.62</v>
      </c>
      <c r="C490">
        <f t="shared" si="35"/>
        <v>1.498604747304233E-2</v>
      </c>
      <c r="D490">
        <f t="shared" si="36"/>
        <v>0.91644892372775977</v>
      </c>
      <c r="E490">
        <f t="shared" si="37"/>
        <v>1.2566567127037467</v>
      </c>
      <c r="F490">
        <f t="shared" si="38"/>
        <v>-0.27072452288423021</v>
      </c>
      <c r="G490">
        <f t="shared" si="39"/>
        <v>0.22050013156774367</v>
      </c>
      <c r="H490" s="1"/>
    </row>
    <row r="491" spans="1:8" x14ac:dyDescent="0.45">
      <c r="A491" s="1">
        <v>44958</v>
      </c>
      <c r="B491">
        <v>300.92</v>
      </c>
      <c r="C491">
        <f t="shared" si="35"/>
        <v>2.1383477021247765E-2</v>
      </c>
      <c r="D491">
        <f t="shared" si="36"/>
        <v>0.93604578822943951</v>
      </c>
      <c r="E491">
        <f t="shared" si="37"/>
        <v>1.2566567127037467</v>
      </c>
      <c r="F491">
        <f t="shared" si="38"/>
        <v>-0.25513007747716565</v>
      </c>
      <c r="G491">
        <f t="shared" si="39"/>
        <v>0.22293668292814253</v>
      </c>
      <c r="H491" s="1"/>
    </row>
    <row r="492" spans="1:8" x14ac:dyDescent="0.45">
      <c r="A492" s="1">
        <v>44959</v>
      </c>
      <c r="B492">
        <v>311.72000000000003</v>
      </c>
      <c r="C492">
        <f t="shared" si="35"/>
        <v>3.5889937524923532E-2</v>
      </c>
      <c r="D492">
        <f t="shared" si="36"/>
        <v>0.96964041308946192</v>
      </c>
      <c r="E492">
        <f t="shared" si="37"/>
        <v>1.2566567127037467</v>
      </c>
      <c r="F492">
        <f t="shared" si="38"/>
        <v>-0.22839674249362651</v>
      </c>
      <c r="G492">
        <f t="shared" si="39"/>
        <v>0.24580146815427473</v>
      </c>
      <c r="H492" s="1"/>
    </row>
    <row r="493" spans="1:8" x14ac:dyDescent="0.45">
      <c r="A493" s="1">
        <v>44960</v>
      </c>
      <c r="B493">
        <v>306.18</v>
      </c>
      <c r="C493">
        <f t="shared" si="35"/>
        <v>-1.7772359810086069E-2</v>
      </c>
      <c r="D493">
        <f t="shared" si="36"/>
        <v>0.95240761478163549</v>
      </c>
      <c r="E493">
        <f t="shared" si="37"/>
        <v>1.2566567127037467</v>
      </c>
      <c r="F493">
        <f t="shared" si="38"/>
        <v>-0.24210995321666429</v>
      </c>
      <c r="G493">
        <f t="shared" si="39"/>
        <v>0.24861781280299131</v>
      </c>
      <c r="H493" s="1"/>
    </row>
    <row r="494" spans="1:8" x14ac:dyDescent="0.45">
      <c r="A494" s="1">
        <v>44963</v>
      </c>
      <c r="B494">
        <v>303.58999999999997</v>
      </c>
      <c r="C494">
        <f t="shared" si="35"/>
        <v>-8.4590763603110686E-3</v>
      </c>
      <c r="D494">
        <f t="shared" si="36"/>
        <v>0.94435112604205595</v>
      </c>
      <c r="E494">
        <f t="shared" si="37"/>
        <v>1.2566567127037467</v>
      </c>
      <c r="F494">
        <f t="shared" si="38"/>
        <v>-0.24852100299512414</v>
      </c>
      <c r="G494">
        <f t="shared" si="39"/>
        <v>0.24385085778630361</v>
      </c>
      <c r="H494" s="1"/>
    </row>
    <row r="495" spans="1:8" x14ac:dyDescent="0.45">
      <c r="A495" s="1">
        <v>44964</v>
      </c>
      <c r="B495">
        <v>309.88</v>
      </c>
      <c r="C495">
        <f t="shared" si="35"/>
        <v>2.0718732501070702E-2</v>
      </c>
      <c r="D495">
        <f t="shared" si="36"/>
        <v>0.96391688440960621</v>
      </c>
      <c r="E495">
        <f t="shared" si="37"/>
        <v>1.2566567127037467</v>
      </c>
      <c r="F495">
        <f t="shared" si="38"/>
        <v>-0.23295131067600727</v>
      </c>
      <c r="G495">
        <f t="shared" si="39"/>
        <v>0.24923403871078498</v>
      </c>
      <c r="H495" s="1"/>
    </row>
    <row r="496" spans="1:8" x14ac:dyDescent="0.45">
      <c r="A496" s="1">
        <v>44965</v>
      </c>
      <c r="B496">
        <v>304.37</v>
      </c>
      <c r="C496">
        <f t="shared" si="35"/>
        <v>-1.7781076545759666E-2</v>
      </c>
      <c r="D496">
        <f t="shared" si="36"/>
        <v>0.94677740450416881</v>
      </c>
      <c r="E496">
        <f t="shared" si="37"/>
        <v>1.2566567127037467</v>
      </c>
      <c r="F496">
        <f t="shared" si="38"/>
        <v>-0.24659026213520185</v>
      </c>
      <c r="G496">
        <f t="shared" si="39"/>
        <v>0.26405869806646026</v>
      </c>
      <c r="H496" s="1"/>
    </row>
    <row r="497" spans="1:8" x14ac:dyDescent="0.45">
      <c r="A497" s="1">
        <v>44966</v>
      </c>
      <c r="B497">
        <v>301.68</v>
      </c>
      <c r="C497">
        <f t="shared" si="35"/>
        <v>-8.8379275224234055E-3</v>
      </c>
      <c r="D497">
        <f t="shared" si="36"/>
        <v>0.93840985442329283</v>
      </c>
      <c r="E497">
        <f t="shared" si="37"/>
        <v>1.2566567127037467</v>
      </c>
      <c r="F497">
        <f t="shared" si="38"/>
        <v>-0.25324884279313886</v>
      </c>
      <c r="G497">
        <f t="shared" si="39"/>
        <v>0.26501656950561564</v>
      </c>
      <c r="H497" s="1"/>
    </row>
    <row r="498" spans="1:8" x14ac:dyDescent="0.45">
      <c r="A498" s="1">
        <v>44967</v>
      </c>
      <c r="B498">
        <v>299.7</v>
      </c>
      <c r="C498">
        <f t="shared" si="35"/>
        <v>-6.5632458233890745E-3</v>
      </c>
      <c r="D498">
        <f t="shared" si="36"/>
        <v>0.93225083986562196</v>
      </c>
      <c r="E498">
        <f t="shared" si="37"/>
        <v>1.2566567127037467</v>
      </c>
      <c r="F498">
        <f t="shared" si="38"/>
        <v>-0.25814995420678777</v>
      </c>
      <c r="G498">
        <f t="shared" si="39"/>
        <v>0.26775088372702432</v>
      </c>
      <c r="H498" s="1"/>
    </row>
    <row r="499" spans="1:8" x14ac:dyDescent="0.45">
      <c r="A499" s="1">
        <v>44970</v>
      </c>
      <c r="B499">
        <v>304.5</v>
      </c>
      <c r="C499">
        <f t="shared" si="35"/>
        <v>1.6016016016016099E-2</v>
      </c>
      <c r="D499">
        <f t="shared" si="36"/>
        <v>0.94718178424785426</v>
      </c>
      <c r="E499">
        <f t="shared" si="37"/>
        <v>1.2566567127037467</v>
      </c>
      <c r="F499">
        <f t="shared" si="38"/>
        <v>-0.2462684719918814</v>
      </c>
      <c r="G499">
        <f t="shared" si="39"/>
        <v>0.27112795176595772</v>
      </c>
      <c r="H499" s="1"/>
    </row>
    <row r="500" spans="1:8" x14ac:dyDescent="0.45">
      <c r="A500" s="1">
        <v>44971</v>
      </c>
      <c r="B500">
        <v>306.75</v>
      </c>
      <c r="C500">
        <f t="shared" si="35"/>
        <v>7.3891625615762901E-3</v>
      </c>
      <c r="D500">
        <f t="shared" si="36"/>
        <v>0.95418066442702554</v>
      </c>
      <c r="E500">
        <f t="shared" si="37"/>
        <v>1.2566567127037467</v>
      </c>
      <c r="F500">
        <f t="shared" si="38"/>
        <v>-0.24069902720364411</v>
      </c>
      <c r="G500">
        <f t="shared" si="39"/>
        <v>0.27123490147915602</v>
      </c>
      <c r="H500" s="1"/>
    </row>
    <row r="501" spans="1:8" x14ac:dyDescent="0.45">
      <c r="A501" s="1">
        <v>44972</v>
      </c>
      <c r="B501">
        <v>309.10000000000002</v>
      </c>
      <c r="C501">
        <f t="shared" si="35"/>
        <v>7.6609616951917037E-3</v>
      </c>
      <c r="D501">
        <f t="shared" si="36"/>
        <v>0.96149060594749358</v>
      </c>
      <c r="E501">
        <f t="shared" si="37"/>
        <v>1.2566567127037467</v>
      </c>
      <c r="F501">
        <f t="shared" si="38"/>
        <v>-0.23488205153592945</v>
      </c>
      <c r="G501">
        <f t="shared" si="39"/>
        <v>0.26342289604453673</v>
      </c>
      <c r="H501" s="1"/>
    </row>
    <row r="502" spans="1:8" x14ac:dyDescent="0.45">
      <c r="A502" s="1">
        <v>44973</v>
      </c>
      <c r="B502">
        <v>303.3</v>
      </c>
      <c r="C502">
        <f t="shared" si="35"/>
        <v>-1.8764153995470712E-2</v>
      </c>
      <c r="D502">
        <f t="shared" si="36"/>
        <v>0.94344904815229635</v>
      </c>
      <c r="E502">
        <f t="shared" si="37"/>
        <v>1.2566567127037467</v>
      </c>
      <c r="F502">
        <f t="shared" si="38"/>
        <v>-0.24923884254560791</v>
      </c>
      <c r="G502">
        <f t="shared" si="39"/>
        <v>0.27207543411328183</v>
      </c>
      <c r="H502" s="1"/>
    </row>
    <row r="503" spans="1:8" x14ac:dyDescent="0.45">
      <c r="A503" s="1">
        <v>44974</v>
      </c>
      <c r="B503">
        <v>301.16000000000003</v>
      </c>
      <c r="C503">
        <f t="shared" si="35"/>
        <v>-7.0557204088360637E-3</v>
      </c>
      <c r="D503">
        <f t="shared" si="36"/>
        <v>0.93679233544855123</v>
      </c>
      <c r="E503">
        <f t="shared" si="37"/>
        <v>1.2566567127037467</v>
      </c>
      <c r="F503">
        <f t="shared" si="38"/>
        <v>-0.25453600336642024</v>
      </c>
      <c r="G503">
        <f t="shared" si="39"/>
        <v>0.26182225564771222</v>
      </c>
      <c r="H503" s="1"/>
    </row>
    <row r="504" spans="1:8" x14ac:dyDescent="0.45">
      <c r="A504" s="1">
        <v>44978</v>
      </c>
      <c r="B504">
        <v>294.02999999999997</v>
      </c>
      <c r="C504">
        <f t="shared" si="35"/>
        <v>-2.3675122858281439E-2</v>
      </c>
      <c r="D504">
        <f t="shared" si="36"/>
        <v>0.91461366181411041</v>
      </c>
      <c r="E504">
        <f t="shared" si="37"/>
        <v>1.2566567127037467</v>
      </c>
      <c r="F504">
        <f t="shared" si="38"/>
        <v>-0.27218495507314566</v>
      </c>
      <c r="G504">
        <f t="shared" si="39"/>
        <v>0.26843902883413712</v>
      </c>
      <c r="H504" s="1"/>
    </row>
    <row r="505" spans="1:8" x14ac:dyDescent="0.45">
      <c r="A505" s="1">
        <v>44979</v>
      </c>
      <c r="B505">
        <v>294.25</v>
      </c>
      <c r="C505">
        <f t="shared" si="35"/>
        <v>7.4822297044518926E-4</v>
      </c>
      <c r="D505">
        <f t="shared" si="36"/>
        <v>0.91529799676496271</v>
      </c>
      <c r="E505">
        <f t="shared" si="37"/>
        <v>1.2566567127037467</v>
      </c>
      <c r="F505">
        <f t="shared" si="38"/>
        <v>-0.27164038713829586</v>
      </c>
      <c r="G505">
        <f t="shared" si="39"/>
        <v>0.26820155579189392</v>
      </c>
      <c r="H505" s="1"/>
    </row>
    <row r="506" spans="1:8" x14ac:dyDescent="0.45">
      <c r="A506" s="1">
        <v>44980</v>
      </c>
      <c r="B506">
        <v>296.82</v>
      </c>
      <c r="C506">
        <f t="shared" si="35"/>
        <v>8.7340696686490915E-3</v>
      </c>
      <c r="D506">
        <f t="shared" si="36"/>
        <v>0.92329227323628282</v>
      </c>
      <c r="E506">
        <f t="shared" si="37"/>
        <v>1.2566567127037467</v>
      </c>
      <c r="F506">
        <f t="shared" si="38"/>
        <v>-0.2652788435357315</v>
      </c>
      <c r="G506">
        <f t="shared" si="39"/>
        <v>0.26919565084515534</v>
      </c>
      <c r="H506" s="1"/>
    </row>
    <row r="507" spans="1:8" x14ac:dyDescent="0.45">
      <c r="A507" s="1">
        <v>44981</v>
      </c>
      <c r="B507">
        <v>291.85000000000002</v>
      </c>
      <c r="C507">
        <f t="shared" si="35"/>
        <v>-1.6744154706556102E-2</v>
      </c>
      <c r="D507">
        <f t="shared" si="36"/>
        <v>0.90783252457384667</v>
      </c>
      <c r="E507">
        <f t="shared" si="37"/>
        <v>1.2566567127037467</v>
      </c>
      <c r="F507">
        <f t="shared" si="38"/>
        <v>-0.27758112824574899</v>
      </c>
      <c r="G507">
        <f t="shared" si="39"/>
        <v>0.26813982783770135</v>
      </c>
      <c r="H507" s="1"/>
    </row>
    <row r="508" spans="1:8" x14ac:dyDescent="0.45">
      <c r="A508" s="1">
        <v>44984</v>
      </c>
      <c r="B508">
        <v>293.94</v>
      </c>
      <c r="C508">
        <f t="shared" si="35"/>
        <v>7.1612129518587864E-3</v>
      </c>
      <c r="D508">
        <f t="shared" si="36"/>
        <v>0.91433370660694357</v>
      </c>
      <c r="E508">
        <f t="shared" si="37"/>
        <v>1.2566567127037467</v>
      </c>
      <c r="F508">
        <f t="shared" si="38"/>
        <v>-0.27240773286467523</v>
      </c>
      <c r="G508">
        <f t="shared" si="39"/>
        <v>0.26692861525953648</v>
      </c>
      <c r="H508" s="1"/>
    </row>
    <row r="509" spans="1:8" x14ac:dyDescent="0.45">
      <c r="A509" s="1">
        <v>44985</v>
      </c>
      <c r="B509">
        <v>293.56</v>
      </c>
      <c r="C509">
        <f t="shared" si="35"/>
        <v>-1.292780839627139E-3</v>
      </c>
      <c r="D509">
        <f t="shared" si="36"/>
        <v>0.9131516735100168</v>
      </c>
      <c r="E509">
        <f t="shared" si="37"/>
        <v>1.2566567127037467</v>
      </c>
      <c r="F509">
        <f t="shared" si="38"/>
        <v>-0.27334835020668868</v>
      </c>
      <c r="G509">
        <f t="shared" si="39"/>
        <v>0.25640533800943971</v>
      </c>
      <c r="H509" s="1"/>
    </row>
    <row r="510" spans="1:8" x14ac:dyDescent="0.45">
      <c r="A510" s="1">
        <v>44986</v>
      </c>
      <c r="B510">
        <v>291.2</v>
      </c>
      <c r="C510">
        <f t="shared" si="35"/>
        <v>-8.0392424035972132E-3</v>
      </c>
      <c r="D510">
        <f t="shared" si="36"/>
        <v>0.90581062585541927</v>
      </c>
      <c r="E510">
        <f t="shared" si="37"/>
        <v>1.2566567127037467</v>
      </c>
      <c r="F510">
        <f t="shared" si="38"/>
        <v>-0.27919007896235093</v>
      </c>
      <c r="G510">
        <f t="shared" si="39"/>
        <v>0.25236940122585844</v>
      </c>
      <c r="H510" s="1"/>
    </row>
    <row r="511" spans="1:8" x14ac:dyDescent="0.45">
      <c r="A511" s="1">
        <v>44987</v>
      </c>
      <c r="B511">
        <v>293.61</v>
      </c>
      <c r="C511">
        <f t="shared" si="35"/>
        <v>8.2760989010990382E-3</v>
      </c>
      <c r="D511">
        <f t="shared" si="36"/>
        <v>0.91330720418066513</v>
      </c>
      <c r="E511">
        <f t="shared" si="37"/>
        <v>1.2566567127037467</v>
      </c>
      <c r="F511">
        <f t="shared" si="38"/>
        <v>-0.27322458476695</v>
      </c>
      <c r="G511">
        <f t="shared" si="39"/>
        <v>0.24136864862938218</v>
      </c>
      <c r="H511" s="1"/>
    </row>
    <row r="512" spans="1:8" x14ac:dyDescent="0.45">
      <c r="A512" s="1">
        <v>44988</v>
      </c>
      <c r="B512">
        <v>299.68</v>
      </c>
      <c r="C512">
        <f t="shared" si="35"/>
        <v>2.0673682776472191E-2</v>
      </c>
      <c r="D512">
        <f t="shared" si="36"/>
        <v>0.93218862759736287</v>
      </c>
      <c r="E512">
        <f t="shared" si="37"/>
        <v>1.2566567127037467</v>
      </c>
      <c r="F512">
        <f t="shared" si="38"/>
        <v>-0.25819946038268304</v>
      </c>
      <c r="G512">
        <f t="shared" si="39"/>
        <v>0.21503019832401143</v>
      </c>
      <c r="H512" s="1"/>
    </row>
    <row r="513" spans="1:8" x14ac:dyDescent="0.45">
      <c r="A513" s="1">
        <v>44991</v>
      </c>
      <c r="B513">
        <v>300.02</v>
      </c>
      <c r="C513">
        <f t="shared" si="35"/>
        <v>1.1345435130805104E-3</v>
      </c>
      <c r="D513">
        <f t="shared" si="36"/>
        <v>0.93324623615777091</v>
      </c>
      <c r="E513">
        <f t="shared" si="37"/>
        <v>1.2566567127037467</v>
      </c>
      <c r="F513">
        <f t="shared" si="38"/>
        <v>-0.25735785539246059</v>
      </c>
      <c r="G513">
        <f t="shared" si="39"/>
        <v>0.20681340811625976</v>
      </c>
      <c r="H513" s="1"/>
    </row>
    <row r="514" spans="1:8" x14ac:dyDescent="0.45">
      <c r="A514" s="1">
        <v>44992</v>
      </c>
      <c r="B514">
        <v>296.33999999999997</v>
      </c>
      <c r="C514">
        <f t="shared" si="35"/>
        <v>-1.2265848943403768E-2</v>
      </c>
      <c r="D514">
        <f t="shared" si="36"/>
        <v>0.92179917879805962</v>
      </c>
      <c r="E514">
        <f t="shared" si="37"/>
        <v>1.2566567127037467</v>
      </c>
      <c r="F514">
        <f t="shared" si="38"/>
        <v>-0.2664669917572221</v>
      </c>
      <c r="G514">
        <f t="shared" si="39"/>
        <v>0.20907931157235871</v>
      </c>
      <c r="H514" s="1"/>
    </row>
    <row r="515" spans="1:8" x14ac:dyDescent="0.45">
      <c r="A515" s="1">
        <v>44993</v>
      </c>
      <c r="B515">
        <v>297.82</v>
      </c>
      <c r="C515">
        <f t="shared" si="35"/>
        <v>4.9942633461566022E-3</v>
      </c>
      <c r="D515">
        <f t="shared" si="36"/>
        <v>0.92640288664924797</v>
      </c>
      <c r="E515">
        <f t="shared" si="37"/>
        <v>1.2566567127037467</v>
      </c>
      <c r="F515">
        <f t="shared" si="38"/>
        <v>-0.26280353474095919</v>
      </c>
      <c r="G515">
        <f t="shared" si="39"/>
        <v>0.19421172967873687</v>
      </c>
      <c r="H515" s="1"/>
    </row>
    <row r="516" spans="1:8" x14ac:dyDescent="0.45">
      <c r="A516" s="1">
        <v>44994</v>
      </c>
      <c r="B516">
        <v>292.66000000000003</v>
      </c>
      <c r="C516">
        <f t="shared" ref="C516:C579" si="40">IFERROR((B516/B515)-1,"")</f>
        <v>-1.7325901551272449E-2</v>
      </c>
      <c r="D516">
        <f t="shared" ref="D516:D579" si="41">D515*(1+C516)</f>
        <v>0.91035212143834854</v>
      </c>
      <c r="E516">
        <f t="shared" ref="E516:E579" si="42">MAX(E515,D516)</f>
        <v>1.2566567127037467</v>
      </c>
      <c r="F516">
        <f t="shared" ref="F516:F579" si="43">D516/E516-1</f>
        <v>-0.2755761281219834</v>
      </c>
      <c r="G516">
        <f t="shared" si="39"/>
        <v>0.19372453637032516</v>
      </c>
      <c r="H516" s="1"/>
    </row>
    <row r="517" spans="1:8" x14ac:dyDescent="0.45">
      <c r="A517" s="1">
        <v>44995</v>
      </c>
      <c r="B517">
        <v>288.55</v>
      </c>
      <c r="C517">
        <f t="shared" si="40"/>
        <v>-1.4043600082006447E-2</v>
      </c>
      <c r="D517">
        <f t="shared" si="41"/>
        <v>0.89756750031106225</v>
      </c>
      <c r="E517">
        <f t="shared" si="42"/>
        <v>1.2566567127037467</v>
      </c>
      <c r="F517">
        <f t="shared" si="43"/>
        <v>-0.28574964726849683</v>
      </c>
      <c r="G517">
        <f t="shared" si="39"/>
        <v>0.19705387846912806</v>
      </c>
      <c r="H517" s="1"/>
    </row>
    <row r="518" spans="1:8" x14ac:dyDescent="0.45">
      <c r="A518" s="1">
        <v>44998</v>
      </c>
      <c r="B518">
        <v>290.69</v>
      </c>
      <c r="C518">
        <f t="shared" si="40"/>
        <v>7.4163923063592652E-3</v>
      </c>
      <c r="D518">
        <f t="shared" si="41"/>
        <v>0.90422421301480738</v>
      </c>
      <c r="E518">
        <f t="shared" si="42"/>
        <v>1.2566567127037467</v>
      </c>
      <c r="F518">
        <f t="shared" si="43"/>
        <v>-0.2804524864476845</v>
      </c>
      <c r="G518">
        <f t="shared" si="39"/>
        <v>0.19913752489859746</v>
      </c>
      <c r="H518" s="1"/>
    </row>
    <row r="519" spans="1:8" x14ac:dyDescent="0.45">
      <c r="A519" s="1">
        <v>44999</v>
      </c>
      <c r="B519">
        <v>297.37</v>
      </c>
      <c r="C519">
        <f t="shared" si="40"/>
        <v>2.297980666689603E-2</v>
      </c>
      <c r="D519">
        <f t="shared" si="41"/>
        <v>0.92500311061341389</v>
      </c>
      <c r="E519">
        <f t="shared" si="42"/>
        <v>1.2566567127037467</v>
      </c>
      <c r="F519">
        <f t="shared" si="43"/>
        <v>-0.26391742369860649</v>
      </c>
      <c r="G519">
        <f t="shared" si="39"/>
        <v>0.20855020457794524</v>
      </c>
      <c r="H519" s="1"/>
    </row>
    <row r="520" spans="1:8" x14ac:dyDescent="0.45">
      <c r="A520" s="1">
        <v>45000</v>
      </c>
      <c r="B520">
        <v>298.93</v>
      </c>
      <c r="C520">
        <f t="shared" si="40"/>
        <v>5.2459898443018016E-3</v>
      </c>
      <c r="D520">
        <f t="shared" si="41"/>
        <v>0.92985566753763949</v>
      </c>
      <c r="E520">
        <f t="shared" si="42"/>
        <v>1.2566567127037467</v>
      </c>
      <c r="F520">
        <f t="shared" si="43"/>
        <v>-0.26005594197876192</v>
      </c>
      <c r="G520">
        <f t="shared" si="39"/>
        <v>0.20752913230576248</v>
      </c>
      <c r="H520" s="1"/>
    </row>
    <row r="521" spans="1:8" x14ac:dyDescent="0.45">
      <c r="A521" s="1">
        <v>45001</v>
      </c>
      <c r="B521">
        <v>306.81</v>
      </c>
      <c r="C521">
        <f t="shared" si="40"/>
        <v>2.6360686448332338E-2</v>
      </c>
      <c r="D521">
        <f t="shared" si="41"/>
        <v>0.95436730123180391</v>
      </c>
      <c r="E521">
        <f t="shared" si="42"/>
        <v>1.2566567127037467</v>
      </c>
      <c r="F521">
        <f t="shared" si="43"/>
        <v>-0.2405505086759574</v>
      </c>
      <c r="G521">
        <f t="shared" si="39"/>
        <v>0.22775896587113253</v>
      </c>
      <c r="H521" s="1"/>
    </row>
    <row r="522" spans="1:8" x14ac:dyDescent="0.45">
      <c r="A522" s="1">
        <v>45002</v>
      </c>
      <c r="B522">
        <v>305.36</v>
      </c>
      <c r="C522">
        <f t="shared" si="40"/>
        <v>-4.7260519539780166E-3</v>
      </c>
      <c r="D522">
        <f t="shared" si="41"/>
        <v>0.94985691178300458</v>
      </c>
      <c r="E522">
        <f t="shared" si="42"/>
        <v>1.2566567127037467</v>
      </c>
      <c r="F522">
        <f t="shared" si="43"/>
        <v>-0.24413970642837712</v>
      </c>
      <c r="G522">
        <f t="shared" si="39"/>
        <v>0.21788044608733545</v>
      </c>
      <c r="H522" s="1"/>
    </row>
    <row r="523" spans="1:8" x14ac:dyDescent="0.45">
      <c r="A523" s="1">
        <v>45005</v>
      </c>
      <c r="B523">
        <v>305.97000000000003</v>
      </c>
      <c r="C523">
        <f t="shared" si="40"/>
        <v>1.9976421273251166E-3</v>
      </c>
      <c r="D523">
        <f t="shared" si="41"/>
        <v>0.95175438596491324</v>
      </c>
      <c r="E523">
        <f t="shared" si="42"/>
        <v>1.2566567127037467</v>
      </c>
      <c r="F523">
        <f t="shared" si="43"/>
        <v>-0.24262976806356606</v>
      </c>
      <c r="G523">
        <f t="shared" si="39"/>
        <v>0.21611903131941104</v>
      </c>
      <c r="H523" s="1"/>
    </row>
    <row r="524" spans="1:8" x14ac:dyDescent="0.45">
      <c r="A524" s="1">
        <v>45006</v>
      </c>
      <c r="B524">
        <v>310.33999999999997</v>
      </c>
      <c r="C524">
        <f t="shared" si="40"/>
        <v>1.4282445991436798E-2</v>
      </c>
      <c r="D524">
        <f t="shared" si="41"/>
        <v>0.96534776657957022</v>
      </c>
      <c r="E524">
        <f t="shared" si="42"/>
        <v>1.2566567127037467</v>
      </c>
      <c r="F524">
        <f t="shared" si="43"/>
        <v>-0.23181266863041194</v>
      </c>
      <c r="G524">
        <f t="shared" si="39"/>
        <v>0.2003417117886748</v>
      </c>
      <c r="H524" s="1"/>
    </row>
    <row r="525" spans="1:8" x14ac:dyDescent="0.45">
      <c r="A525" s="1">
        <v>45007</v>
      </c>
      <c r="B525">
        <v>306.12</v>
      </c>
      <c r="C525">
        <f t="shared" si="40"/>
        <v>-1.3597989302055691E-2</v>
      </c>
      <c r="D525">
        <f t="shared" si="41"/>
        <v>0.9522209779768579</v>
      </c>
      <c r="E525">
        <f t="shared" si="42"/>
        <v>1.2566567127037467</v>
      </c>
      <c r="F525">
        <f t="shared" si="43"/>
        <v>-0.24225847174435033</v>
      </c>
      <c r="G525">
        <f t="shared" si="39"/>
        <v>0.20857284996441253</v>
      </c>
      <c r="H525" s="1"/>
    </row>
    <row r="526" spans="1:8" x14ac:dyDescent="0.45">
      <c r="A526" s="1">
        <v>45008</v>
      </c>
      <c r="B526">
        <v>309.75</v>
      </c>
      <c r="C526">
        <f t="shared" si="40"/>
        <v>1.1858094864758861E-2</v>
      </c>
      <c r="D526">
        <f t="shared" si="41"/>
        <v>0.96351250466592098</v>
      </c>
      <c r="E526">
        <f t="shared" si="42"/>
        <v>1.2566567127037467</v>
      </c>
      <c r="F526">
        <f t="shared" si="43"/>
        <v>-0.23327310081932739</v>
      </c>
      <c r="G526">
        <f t="shared" si="39"/>
        <v>0.21018703200995789</v>
      </c>
      <c r="H526" s="1"/>
    </row>
    <row r="527" spans="1:8" x14ac:dyDescent="0.45">
      <c r="A527" s="1">
        <v>45009</v>
      </c>
      <c r="B527">
        <v>310.89</v>
      </c>
      <c r="C527">
        <f t="shared" si="40"/>
        <v>3.6803874092008471E-3</v>
      </c>
      <c r="D527">
        <f t="shared" si="41"/>
        <v>0.96705860395670096</v>
      </c>
      <c r="E527">
        <f t="shared" si="42"/>
        <v>1.2566567127037467</v>
      </c>
      <c r="F527">
        <f t="shared" si="43"/>
        <v>-0.23045124879328738</v>
      </c>
      <c r="G527">
        <f t="shared" si="39"/>
        <v>0.19789330965281796</v>
      </c>
      <c r="H527" s="1"/>
    </row>
    <row r="528" spans="1:8" x14ac:dyDescent="0.45">
      <c r="A528" s="1">
        <v>45012</v>
      </c>
      <c r="B528">
        <v>308.76</v>
      </c>
      <c r="C528">
        <f t="shared" si="40"/>
        <v>-6.8512978867123486E-3</v>
      </c>
      <c r="D528">
        <f t="shared" si="41"/>
        <v>0.96043299738708543</v>
      </c>
      <c r="E528">
        <f t="shared" si="42"/>
        <v>1.2566567127037467</v>
      </c>
      <c r="F528">
        <f t="shared" si="43"/>
        <v>-0.23572365652615201</v>
      </c>
      <c r="G528">
        <f t="shared" si="39"/>
        <v>0.20044376056237884</v>
      </c>
      <c r="H528" s="1"/>
    </row>
    <row r="529" spans="1:8" x14ac:dyDescent="0.45">
      <c r="A529" s="1">
        <v>45013</v>
      </c>
      <c r="B529">
        <v>307.12</v>
      </c>
      <c r="C529">
        <f t="shared" si="40"/>
        <v>-5.3115688560694263E-3</v>
      </c>
      <c r="D529">
        <f t="shared" si="41"/>
        <v>0.95533159138982282</v>
      </c>
      <c r="E529">
        <f t="shared" si="42"/>
        <v>1.2566567127037467</v>
      </c>
      <c r="F529">
        <f t="shared" si="43"/>
        <v>-0.23978316294957824</v>
      </c>
      <c r="G529">
        <f t="shared" si="39"/>
        <v>0.20196425508342208</v>
      </c>
      <c r="H529" s="1"/>
    </row>
    <row r="530" spans="1:8" x14ac:dyDescent="0.45">
      <c r="A530" s="1">
        <v>45014</v>
      </c>
      <c r="B530">
        <v>312.72000000000003</v>
      </c>
      <c r="C530">
        <f t="shared" si="40"/>
        <v>1.8233915082052743E-2</v>
      </c>
      <c r="D530">
        <f t="shared" si="41"/>
        <v>0.97275102650242717</v>
      </c>
      <c r="E530">
        <f t="shared" si="42"/>
        <v>1.2566567127037467</v>
      </c>
      <c r="F530">
        <f t="shared" si="43"/>
        <v>-0.22592143369885409</v>
      </c>
      <c r="G530">
        <f t="shared" si="39"/>
        <v>0.20556169149284784</v>
      </c>
      <c r="H530" s="1"/>
    </row>
    <row r="531" spans="1:8" x14ac:dyDescent="0.45">
      <c r="A531" s="1">
        <v>45015</v>
      </c>
      <c r="B531">
        <v>315.68</v>
      </c>
      <c r="C531">
        <f t="shared" si="40"/>
        <v>9.4653364031720422E-3</v>
      </c>
      <c r="D531">
        <f t="shared" si="41"/>
        <v>0.98195844220480355</v>
      </c>
      <c r="E531">
        <f t="shared" si="42"/>
        <v>1.2566567127037467</v>
      </c>
      <c r="F531">
        <f t="shared" si="43"/>
        <v>-0.2185945196663287</v>
      </c>
      <c r="G531">
        <f t="shared" si="39"/>
        <v>0.20595957346344601</v>
      </c>
      <c r="H531" s="1"/>
    </row>
    <row r="532" spans="1:8" x14ac:dyDescent="0.45">
      <c r="A532" s="1">
        <v>45016</v>
      </c>
      <c r="B532">
        <v>320.93</v>
      </c>
      <c r="C532">
        <f t="shared" si="40"/>
        <v>1.6630765331981712E-2</v>
      </c>
      <c r="D532">
        <f t="shared" si="41"/>
        <v>0.99828916262286993</v>
      </c>
      <c r="E532">
        <f t="shared" si="42"/>
        <v>1.2566567127037467</v>
      </c>
      <c r="F532">
        <f t="shared" si="43"/>
        <v>-0.20559914849377503</v>
      </c>
      <c r="G532">
        <f t="shared" si="39"/>
        <v>0.20200507908501761</v>
      </c>
      <c r="H532" s="1"/>
    </row>
    <row r="533" spans="1:8" x14ac:dyDescent="0.45">
      <c r="A533" s="1">
        <v>45019</v>
      </c>
      <c r="B533">
        <v>320.14999999999998</v>
      </c>
      <c r="C533">
        <f t="shared" si="40"/>
        <v>-2.4304365437947117E-3</v>
      </c>
      <c r="D533">
        <f t="shared" si="41"/>
        <v>0.99586288416075708</v>
      </c>
      <c r="E533">
        <f t="shared" si="42"/>
        <v>1.2566567127037467</v>
      </c>
      <c r="F533">
        <f t="shared" si="43"/>
        <v>-0.20752988935369732</v>
      </c>
      <c r="G533">
        <f t="shared" si="39"/>
        <v>0.20295473582513096</v>
      </c>
      <c r="H533" s="1"/>
    </row>
    <row r="534" spans="1:8" x14ac:dyDescent="0.45">
      <c r="A534" s="1">
        <v>45020</v>
      </c>
      <c r="B534">
        <v>319.07</v>
      </c>
      <c r="C534">
        <f t="shared" si="40"/>
        <v>-3.3734187099796475E-3</v>
      </c>
      <c r="D534">
        <f t="shared" si="41"/>
        <v>0.99250342167475492</v>
      </c>
      <c r="E534">
        <f t="shared" si="42"/>
        <v>1.2566567127037467</v>
      </c>
      <c r="F534">
        <f t="shared" si="43"/>
        <v>-0.21020322285205117</v>
      </c>
      <c r="G534">
        <f t="shared" ref="G534:G597" si="44">_xlfn.STDEV.S(C515:C534)*SQRT(252)</f>
        <v>0.19623520045077472</v>
      </c>
      <c r="H534" s="1"/>
    </row>
    <row r="535" spans="1:8" x14ac:dyDescent="0.45">
      <c r="A535" s="1">
        <v>45021</v>
      </c>
      <c r="B535">
        <v>315.92</v>
      </c>
      <c r="C535">
        <f t="shared" si="40"/>
        <v>-9.872441783934538E-3</v>
      </c>
      <c r="D535">
        <f t="shared" si="41"/>
        <v>0.98270498942391504</v>
      </c>
      <c r="E535">
        <f t="shared" si="42"/>
        <v>1.2566567127037467</v>
      </c>
      <c r="F535">
        <f t="shared" si="43"/>
        <v>-0.21800044555558351</v>
      </c>
      <c r="G535">
        <f t="shared" si="44"/>
        <v>0.20201974719099286</v>
      </c>
      <c r="H535" s="1"/>
    </row>
    <row r="536" spans="1:8" x14ac:dyDescent="0.45">
      <c r="A536" s="1">
        <v>45022</v>
      </c>
      <c r="B536">
        <v>318.05</v>
      </c>
      <c r="C536">
        <f t="shared" si="40"/>
        <v>6.7422132185364081E-3</v>
      </c>
      <c r="D536">
        <f t="shared" si="41"/>
        <v>0.98933059599353068</v>
      </c>
      <c r="E536">
        <f t="shared" si="42"/>
        <v>1.2566567127037467</v>
      </c>
      <c r="F536">
        <f t="shared" si="43"/>
        <v>-0.21272803782271876</v>
      </c>
      <c r="G536">
        <f t="shared" si="44"/>
        <v>0.18738795139344042</v>
      </c>
      <c r="H536" s="1"/>
    </row>
    <row r="537" spans="1:8" x14ac:dyDescent="0.45">
      <c r="A537" s="1">
        <v>45026</v>
      </c>
      <c r="B537">
        <v>317.87</v>
      </c>
      <c r="C537">
        <f t="shared" si="40"/>
        <v>-5.6594875019655433E-4</v>
      </c>
      <c r="D537">
        <f t="shared" si="41"/>
        <v>0.9887706855791969</v>
      </c>
      <c r="E537">
        <f t="shared" si="42"/>
        <v>1.2566567127037467</v>
      </c>
      <c r="F537">
        <f t="shared" si="43"/>
        <v>-0.21317359340577779</v>
      </c>
      <c r="G537">
        <f t="shared" si="44"/>
        <v>0.17569406783002448</v>
      </c>
      <c r="H537" s="1"/>
    </row>
    <row r="538" spans="1:8" x14ac:dyDescent="0.45">
      <c r="A538" s="1">
        <v>45027</v>
      </c>
      <c r="B538">
        <v>315.83</v>
      </c>
      <c r="C538">
        <f t="shared" si="40"/>
        <v>-6.4177179350048963E-3</v>
      </c>
      <c r="D538">
        <f t="shared" si="41"/>
        <v>0.98242503421674821</v>
      </c>
      <c r="E538">
        <f t="shared" si="42"/>
        <v>1.2566567127037467</v>
      </c>
      <c r="F538">
        <f t="shared" si="43"/>
        <v>-0.21822322334711297</v>
      </c>
      <c r="G538">
        <f t="shared" si="44"/>
        <v>0.17988721363165952</v>
      </c>
      <c r="H538" s="1"/>
    </row>
    <row r="539" spans="1:8" x14ac:dyDescent="0.45">
      <c r="A539" s="1">
        <v>45028</v>
      </c>
      <c r="B539">
        <v>313.04000000000002</v>
      </c>
      <c r="C539">
        <f t="shared" si="40"/>
        <v>-8.8338663204887702E-3</v>
      </c>
      <c r="D539">
        <f t="shared" si="41"/>
        <v>0.97374642279457579</v>
      </c>
      <c r="E539">
        <f t="shared" si="42"/>
        <v>1.2566567127037467</v>
      </c>
      <c r="F539">
        <f t="shared" si="43"/>
        <v>-0.22512933488452724</v>
      </c>
      <c r="G539">
        <f t="shared" si="44"/>
        <v>0.17110717269453743</v>
      </c>
      <c r="H539" s="1"/>
    </row>
    <row r="540" spans="1:8" x14ac:dyDescent="0.45">
      <c r="A540" s="1">
        <v>45029</v>
      </c>
      <c r="B540">
        <v>319.17</v>
      </c>
      <c r="C540">
        <f t="shared" si="40"/>
        <v>1.9582162024022409E-2</v>
      </c>
      <c r="D540">
        <f t="shared" si="41"/>
        <v>0.99281448301605135</v>
      </c>
      <c r="E540">
        <f t="shared" si="42"/>
        <v>1.2566567127037467</v>
      </c>
      <c r="F540">
        <f t="shared" si="43"/>
        <v>-0.20995569197257402</v>
      </c>
      <c r="G540">
        <f t="shared" si="44"/>
        <v>0.181283471573673</v>
      </c>
      <c r="H540" s="1"/>
    </row>
    <row r="541" spans="1:8" x14ac:dyDescent="0.45">
      <c r="A541" s="1">
        <v>45030</v>
      </c>
      <c r="B541">
        <v>318.57</v>
      </c>
      <c r="C541">
        <f t="shared" si="40"/>
        <v>-1.8798759281888344E-3</v>
      </c>
      <c r="D541">
        <f t="shared" si="41"/>
        <v>0.99094811496827229</v>
      </c>
      <c r="E541">
        <f t="shared" si="42"/>
        <v>1.2566567127037467</v>
      </c>
      <c r="F541">
        <f t="shared" si="43"/>
        <v>-0.21144087724943739</v>
      </c>
      <c r="G541">
        <f t="shared" si="44"/>
        <v>0.16021653015566656</v>
      </c>
      <c r="H541" s="1"/>
    </row>
    <row r="542" spans="1:8" x14ac:dyDescent="0.45">
      <c r="A542" s="1">
        <v>45033</v>
      </c>
      <c r="B542">
        <v>318.83999999999997</v>
      </c>
      <c r="C542">
        <f t="shared" si="40"/>
        <v>8.4753743290333361E-4</v>
      </c>
      <c r="D542">
        <f t="shared" si="41"/>
        <v>0.99178798058977291</v>
      </c>
      <c r="E542">
        <f t="shared" si="42"/>
        <v>1.2566567127037467</v>
      </c>
      <c r="F542">
        <f t="shared" si="43"/>
        <v>-0.21077254387484889</v>
      </c>
      <c r="G542">
        <f t="shared" si="44"/>
        <v>0.15835588730500491</v>
      </c>
      <c r="H542" s="1"/>
    </row>
    <row r="543" spans="1:8" x14ac:dyDescent="0.45">
      <c r="A543" s="1">
        <v>45034</v>
      </c>
      <c r="B543">
        <v>318.86</v>
      </c>
      <c r="C543">
        <f t="shared" si="40"/>
        <v>6.2727386777261529E-5</v>
      </c>
      <c r="D543">
        <f t="shared" si="41"/>
        <v>0.99185019285803244</v>
      </c>
      <c r="E543">
        <f t="shared" si="42"/>
        <v>1.2566567127037467</v>
      </c>
      <c r="F543">
        <f t="shared" si="43"/>
        <v>-0.21072303769895318</v>
      </c>
      <c r="G543">
        <f t="shared" si="44"/>
        <v>0.15853902846963738</v>
      </c>
      <c r="H543" s="1"/>
    </row>
    <row r="544" spans="1:8" x14ac:dyDescent="0.45">
      <c r="A544" s="1">
        <v>45035</v>
      </c>
      <c r="B544">
        <v>318.70999999999998</v>
      </c>
      <c r="C544">
        <f t="shared" si="40"/>
        <v>-4.7042589224122189E-4</v>
      </c>
      <c r="D544">
        <f t="shared" si="41"/>
        <v>0.99138360084608756</v>
      </c>
      <c r="E544">
        <f t="shared" si="42"/>
        <v>1.2566567127037467</v>
      </c>
      <c r="F544">
        <f t="shared" si="43"/>
        <v>-0.21109433401816913</v>
      </c>
      <c r="G544">
        <f t="shared" si="44"/>
        <v>0.15203427257757723</v>
      </c>
      <c r="H544" s="1"/>
    </row>
    <row r="545" spans="1:8" x14ac:dyDescent="0.45">
      <c r="A545" s="1">
        <v>45036</v>
      </c>
      <c r="B545">
        <v>316.27999999999997</v>
      </c>
      <c r="C545">
        <f t="shared" si="40"/>
        <v>-7.6244862100341981E-3</v>
      </c>
      <c r="D545">
        <f t="shared" si="41"/>
        <v>0.9838248102525825</v>
      </c>
      <c r="E545">
        <f t="shared" si="42"/>
        <v>1.2566567127037467</v>
      </c>
      <c r="F545">
        <f t="shared" si="43"/>
        <v>-0.21710933438946545</v>
      </c>
      <c r="G545">
        <f t="shared" si="44"/>
        <v>0.14557297736644534</v>
      </c>
      <c r="H545" s="1"/>
    </row>
    <row r="546" spans="1:8" x14ac:dyDescent="0.45">
      <c r="A546" s="1">
        <v>45037</v>
      </c>
      <c r="B546">
        <v>316.61</v>
      </c>
      <c r="C546">
        <f t="shared" si="40"/>
        <v>1.043379284178636E-3</v>
      </c>
      <c r="D546">
        <f t="shared" si="41"/>
        <v>0.98485131267886106</v>
      </c>
      <c r="E546">
        <f t="shared" si="42"/>
        <v>1.2566567127037467</v>
      </c>
      <c r="F546">
        <f t="shared" si="43"/>
        <v>-0.21629248248719057</v>
      </c>
      <c r="G546">
        <f t="shared" si="44"/>
        <v>0.14051151558587999</v>
      </c>
      <c r="H546" s="1"/>
    </row>
    <row r="547" spans="1:8" x14ac:dyDescent="0.45">
      <c r="A547" s="1">
        <v>45040</v>
      </c>
      <c r="B547">
        <v>315.95</v>
      </c>
      <c r="C547">
        <f t="shared" si="40"/>
        <v>-2.084583557057651E-3</v>
      </c>
      <c r="D547">
        <f t="shared" si="41"/>
        <v>0.98279830782630406</v>
      </c>
      <c r="E547">
        <f t="shared" si="42"/>
        <v>1.2566567127037467</v>
      </c>
      <c r="F547">
        <f t="shared" si="43"/>
        <v>-0.21792618629174021</v>
      </c>
      <c r="G547">
        <f t="shared" si="44"/>
        <v>0.14061531558093326</v>
      </c>
      <c r="H547" s="1"/>
    </row>
    <row r="548" spans="1:8" x14ac:dyDescent="0.45">
      <c r="A548" s="1">
        <v>45041</v>
      </c>
      <c r="B548">
        <v>309.99</v>
      </c>
      <c r="C548">
        <f t="shared" si="40"/>
        <v>-1.8863744263332705E-2</v>
      </c>
      <c r="D548">
        <f t="shared" si="41"/>
        <v>0.96425905188503258</v>
      </c>
      <c r="E548">
        <f t="shared" si="42"/>
        <v>1.2566567127037467</v>
      </c>
      <c r="F548">
        <f t="shared" si="43"/>
        <v>-0.23267902670858209</v>
      </c>
      <c r="G548">
        <f t="shared" si="44"/>
        <v>0.15505837243208237</v>
      </c>
      <c r="H548" s="1"/>
    </row>
    <row r="549" spans="1:8" x14ac:dyDescent="0.45">
      <c r="A549" s="1">
        <v>45042</v>
      </c>
      <c r="B549">
        <v>311.87</v>
      </c>
      <c r="C549">
        <f t="shared" si="40"/>
        <v>6.0647117648955362E-3</v>
      </c>
      <c r="D549">
        <f t="shared" si="41"/>
        <v>0.97010700510140679</v>
      </c>
      <c r="E549">
        <f t="shared" si="42"/>
        <v>1.2566567127037467</v>
      </c>
      <c r="F549">
        <f t="shared" si="43"/>
        <v>-0.22802544617441056</v>
      </c>
      <c r="G549">
        <f t="shared" si="44"/>
        <v>0.15491057595223948</v>
      </c>
      <c r="H549" s="1"/>
    </row>
    <row r="550" spans="1:8" x14ac:dyDescent="0.45">
      <c r="A550" s="1">
        <v>45043</v>
      </c>
      <c r="B550">
        <v>320.35000000000002</v>
      </c>
      <c r="C550">
        <f t="shared" si="40"/>
        <v>2.7190816686439856E-2</v>
      </c>
      <c r="D550">
        <f t="shared" si="41"/>
        <v>0.99648500684335028</v>
      </c>
      <c r="E550">
        <f t="shared" si="42"/>
        <v>1.2566567127037467</v>
      </c>
      <c r="F550">
        <f t="shared" si="43"/>
        <v>-0.20703482759474279</v>
      </c>
      <c r="G550">
        <f t="shared" si="44"/>
        <v>0.17072575388000882</v>
      </c>
      <c r="H550" s="1"/>
    </row>
    <row r="551" spans="1:8" x14ac:dyDescent="0.45">
      <c r="A551" s="1">
        <v>45044</v>
      </c>
      <c r="B551">
        <v>322.56</v>
      </c>
      <c r="C551">
        <f t="shared" si="40"/>
        <v>6.8987045419073301E-3</v>
      </c>
      <c r="D551">
        <f t="shared" si="41"/>
        <v>1.0033594624860032</v>
      </c>
      <c r="E551">
        <f t="shared" si="42"/>
        <v>1.2566567127037467</v>
      </c>
      <c r="F551">
        <f t="shared" si="43"/>
        <v>-0.20156439515829627</v>
      </c>
      <c r="G551">
        <f t="shared" si="44"/>
        <v>0.16932715008678245</v>
      </c>
      <c r="H551" s="1"/>
    </row>
    <row r="552" spans="1:8" x14ac:dyDescent="0.45">
      <c r="A552" s="1">
        <v>45047</v>
      </c>
      <c r="B552">
        <v>322.19</v>
      </c>
      <c r="C552">
        <f t="shared" si="40"/>
        <v>-1.1470734126983739E-3</v>
      </c>
      <c r="D552">
        <f t="shared" si="41"/>
        <v>1.0022085355232062</v>
      </c>
      <c r="E552">
        <f t="shared" si="42"/>
        <v>1.2566567127037467</v>
      </c>
      <c r="F552">
        <f t="shared" si="43"/>
        <v>-0.20248025941236181</v>
      </c>
      <c r="G552">
        <f t="shared" si="44"/>
        <v>0.15920163300912121</v>
      </c>
      <c r="H552" s="1"/>
    </row>
    <row r="553" spans="1:8" x14ac:dyDescent="0.45">
      <c r="A553" s="1">
        <v>45048</v>
      </c>
      <c r="B553">
        <v>319.38</v>
      </c>
      <c r="C553">
        <f t="shared" si="40"/>
        <v>-8.7215618113535287E-3</v>
      </c>
      <c r="D553">
        <f t="shared" si="41"/>
        <v>0.99346771183277449</v>
      </c>
      <c r="E553">
        <f t="shared" si="42"/>
        <v>1.2566567127037467</v>
      </c>
      <c r="F553">
        <f t="shared" si="43"/>
        <v>-0.20943587712567158</v>
      </c>
      <c r="G553">
        <f t="shared" si="44"/>
        <v>0.16214209442204755</v>
      </c>
      <c r="H553" s="1"/>
    </row>
    <row r="554" spans="1:8" x14ac:dyDescent="0.45">
      <c r="A554" s="1">
        <v>45049</v>
      </c>
      <c r="B554">
        <v>317.29000000000002</v>
      </c>
      <c r="C554">
        <f t="shared" si="40"/>
        <v>-6.5439288621703673E-3</v>
      </c>
      <c r="D554">
        <f t="shared" si="41"/>
        <v>0.98696652979967769</v>
      </c>
      <c r="E554">
        <f t="shared" si="42"/>
        <v>1.2566567127037467</v>
      </c>
      <c r="F554">
        <f t="shared" si="43"/>
        <v>-0.21460927250674522</v>
      </c>
      <c r="G554">
        <f t="shared" si="44"/>
        <v>0.16338434252563697</v>
      </c>
      <c r="H554" s="1"/>
    </row>
    <row r="555" spans="1:8" x14ac:dyDescent="0.45">
      <c r="A555" s="1">
        <v>45050</v>
      </c>
      <c r="B555">
        <v>316.17</v>
      </c>
      <c r="C555">
        <f t="shared" si="40"/>
        <v>-3.5298937880172687E-3</v>
      </c>
      <c r="D555">
        <f t="shared" si="41"/>
        <v>0.9834826427771568</v>
      </c>
      <c r="E555">
        <f t="shared" si="42"/>
        <v>1.2566567127037467</v>
      </c>
      <c r="F555">
        <f t="shared" si="43"/>
        <v>-0.21738161835689007</v>
      </c>
      <c r="G555">
        <f t="shared" si="44"/>
        <v>0.15993427550122052</v>
      </c>
      <c r="H555" s="1"/>
    </row>
    <row r="556" spans="1:8" x14ac:dyDescent="0.45">
      <c r="A556" s="1">
        <v>45051</v>
      </c>
      <c r="B556">
        <v>322.89</v>
      </c>
      <c r="C556">
        <f t="shared" si="40"/>
        <v>2.1254388461903417E-2</v>
      </c>
      <c r="D556">
        <f t="shared" si="41"/>
        <v>1.0043859649122819</v>
      </c>
      <c r="E556">
        <f t="shared" si="42"/>
        <v>1.2566567127037467</v>
      </c>
      <c r="F556">
        <f t="shared" si="43"/>
        <v>-0.20074754325602118</v>
      </c>
      <c r="G556">
        <f t="shared" si="44"/>
        <v>0.17548319496382975</v>
      </c>
      <c r="H556" s="1"/>
    </row>
    <row r="557" spans="1:8" x14ac:dyDescent="0.45">
      <c r="A557" s="1">
        <v>45054</v>
      </c>
      <c r="B557">
        <v>323.69</v>
      </c>
      <c r="C557">
        <f t="shared" si="40"/>
        <v>2.4776239586237203E-3</v>
      </c>
      <c r="D557">
        <f t="shared" si="41"/>
        <v>1.0068744556426541</v>
      </c>
      <c r="E557">
        <f t="shared" si="42"/>
        <v>1.2566567127037467</v>
      </c>
      <c r="F557">
        <f t="shared" si="43"/>
        <v>-0.19876729622020339</v>
      </c>
      <c r="G557">
        <f t="shared" si="44"/>
        <v>0.17549853358472767</v>
      </c>
      <c r="H557" s="1"/>
    </row>
    <row r="558" spans="1:8" x14ac:dyDescent="0.45">
      <c r="A558" s="1">
        <v>45055</v>
      </c>
      <c r="B558">
        <v>321.64</v>
      </c>
      <c r="C558">
        <f t="shared" si="40"/>
        <v>-6.3332200562267182E-3</v>
      </c>
      <c r="D558">
        <f t="shared" si="41"/>
        <v>1.0004976981460756</v>
      </c>
      <c r="E558">
        <f t="shared" si="42"/>
        <v>1.2566567127037467</v>
      </c>
      <c r="F558">
        <f t="shared" si="43"/>
        <v>-0.20384167924948637</v>
      </c>
      <c r="G558">
        <f t="shared" si="44"/>
        <v>0.17545163707426689</v>
      </c>
      <c r="H558" s="1"/>
    </row>
    <row r="559" spans="1:8" x14ac:dyDescent="0.45">
      <c r="A559" s="1">
        <v>45056</v>
      </c>
      <c r="B559">
        <v>325.14</v>
      </c>
      <c r="C559">
        <f t="shared" si="40"/>
        <v>1.0881731127969196E-2</v>
      </c>
      <c r="D559">
        <f t="shared" si="41"/>
        <v>1.0113848450914533</v>
      </c>
      <c r="E559">
        <f t="shared" si="42"/>
        <v>1.2566567127037467</v>
      </c>
      <c r="F559">
        <f t="shared" si="43"/>
        <v>-0.19517809846778378</v>
      </c>
      <c r="G559">
        <f t="shared" si="44"/>
        <v>0.17479698909374095</v>
      </c>
      <c r="H559" s="1"/>
    </row>
    <row r="560" spans="1:8" x14ac:dyDescent="0.45">
      <c r="A560" s="1">
        <v>45057</v>
      </c>
      <c r="B560">
        <v>326.2</v>
      </c>
      <c r="C560">
        <f t="shared" si="40"/>
        <v>3.2601340960816128E-3</v>
      </c>
      <c r="D560">
        <f t="shared" si="41"/>
        <v>1.0146820953091962</v>
      </c>
      <c r="E560">
        <f t="shared" si="42"/>
        <v>1.2566567127037467</v>
      </c>
      <c r="F560">
        <f t="shared" si="43"/>
        <v>-0.19255427114532542</v>
      </c>
      <c r="G560">
        <f t="shared" si="44"/>
        <v>0.1621077729220067</v>
      </c>
      <c r="H560" s="1"/>
    </row>
    <row r="561" spans="1:8" x14ac:dyDescent="0.45">
      <c r="A561" s="1">
        <v>45058</v>
      </c>
      <c r="B561">
        <v>325.02999999999997</v>
      </c>
      <c r="C561">
        <f t="shared" si="40"/>
        <v>-3.5867565910484567E-3</v>
      </c>
      <c r="D561">
        <f t="shared" si="41"/>
        <v>1.0110426776160271</v>
      </c>
      <c r="E561">
        <f t="shared" si="42"/>
        <v>1.2566567127037467</v>
      </c>
      <c r="F561">
        <f t="shared" si="43"/>
        <v>-0.19545038243520885</v>
      </c>
      <c r="G561">
        <f t="shared" si="44"/>
        <v>0.16264173057897216</v>
      </c>
      <c r="H561" s="1"/>
    </row>
    <row r="562" spans="1:8" x14ac:dyDescent="0.45">
      <c r="A562" s="1">
        <v>45061</v>
      </c>
      <c r="B562">
        <v>326.79000000000002</v>
      </c>
      <c r="C562">
        <f t="shared" si="40"/>
        <v>5.4148847798665134E-3</v>
      </c>
      <c r="D562">
        <f t="shared" si="41"/>
        <v>1.0165173572228456</v>
      </c>
      <c r="E562">
        <f t="shared" si="42"/>
        <v>1.2566567127037467</v>
      </c>
      <c r="F562">
        <f t="shared" si="43"/>
        <v>-0.19109383895640975</v>
      </c>
      <c r="G562">
        <f t="shared" si="44"/>
        <v>0.16337131528374363</v>
      </c>
      <c r="H562" s="1"/>
    </row>
    <row r="563" spans="1:8" x14ac:dyDescent="0.45">
      <c r="A563" s="1">
        <v>45062</v>
      </c>
      <c r="B563">
        <v>327.16000000000003</v>
      </c>
      <c r="C563">
        <f t="shared" si="40"/>
        <v>1.1322255882983967E-3</v>
      </c>
      <c r="D563">
        <f t="shared" si="41"/>
        <v>1.0176682841856428</v>
      </c>
      <c r="E563">
        <f t="shared" si="42"/>
        <v>1.2566567127037467</v>
      </c>
      <c r="F563">
        <f t="shared" si="43"/>
        <v>-0.19017797470234399</v>
      </c>
      <c r="G563">
        <f t="shared" si="44"/>
        <v>0.16330953257727077</v>
      </c>
      <c r="H563" s="1"/>
    </row>
    <row r="564" spans="1:8" x14ac:dyDescent="0.45">
      <c r="A564" s="1">
        <v>45063</v>
      </c>
      <c r="B564">
        <v>331.12</v>
      </c>
      <c r="C564">
        <f t="shared" si="40"/>
        <v>1.2104169213840166E-2</v>
      </c>
      <c r="D564">
        <f t="shared" si="41"/>
        <v>1.0299863133009841</v>
      </c>
      <c r="E564">
        <f t="shared" si="42"/>
        <v>1.2566567127037467</v>
      </c>
      <c r="F564">
        <f t="shared" si="43"/>
        <v>-0.18037575187504651</v>
      </c>
      <c r="G564">
        <f t="shared" si="44"/>
        <v>0.16751087054806518</v>
      </c>
      <c r="H564" s="1"/>
    </row>
    <row r="565" spans="1:8" x14ac:dyDescent="0.45">
      <c r="A565" s="1">
        <v>45064</v>
      </c>
      <c r="B565">
        <v>337.27</v>
      </c>
      <c r="C565">
        <f t="shared" si="40"/>
        <v>1.8573326890553243E-2</v>
      </c>
      <c r="D565">
        <f t="shared" si="41"/>
        <v>1.049116585790719</v>
      </c>
      <c r="E565">
        <f t="shared" si="42"/>
        <v>1.2566567127037467</v>
      </c>
      <c r="F565">
        <f t="shared" si="43"/>
        <v>-0.1651526027871979</v>
      </c>
      <c r="G565">
        <f t="shared" si="44"/>
        <v>0.17333202200828968</v>
      </c>
      <c r="H565" s="1"/>
    </row>
    <row r="566" spans="1:8" x14ac:dyDescent="0.45">
      <c r="A566" s="1">
        <v>45065</v>
      </c>
      <c r="B566">
        <v>336.51</v>
      </c>
      <c r="C566">
        <f t="shared" si="40"/>
        <v>-2.2533874936994103E-3</v>
      </c>
      <c r="D566">
        <f t="shared" si="41"/>
        <v>1.0467525195968657</v>
      </c>
      <c r="E566">
        <f t="shared" si="42"/>
        <v>1.2566567127037467</v>
      </c>
      <c r="F566">
        <f t="shared" si="43"/>
        <v>-0.16703383747122458</v>
      </c>
      <c r="G566">
        <f t="shared" si="44"/>
        <v>0.17428720152966218</v>
      </c>
      <c r="H566" s="1"/>
    </row>
    <row r="567" spans="1:8" x14ac:dyDescent="0.45">
      <c r="A567" s="1">
        <v>45068</v>
      </c>
      <c r="B567">
        <v>337.64</v>
      </c>
      <c r="C567">
        <f t="shared" si="40"/>
        <v>3.3579982764255778E-3</v>
      </c>
      <c r="D567">
        <f t="shared" si="41"/>
        <v>1.0502675127535162</v>
      </c>
      <c r="E567">
        <f t="shared" si="42"/>
        <v>1.2566567127037467</v>
      </c>
      <c r="F567">
        <f t="shared" si="43"/>
        <v>-0.16423673853313203</v>
      </c>
      <c r="G567">
        <f t="shared" si="44"/>
        <v>0.17320333125333048</v>
      </c>
      <c r="H567" s="1"/>
    </row>
    <row r="568" spans="1:8" x14ac:dyDescent="0.45">
      <c r="A568" s="1">
        <v>45069</v>
      </c>
      <c r="B568">
        <v>333.36</v>
      </c>
      <c r="C568">
        <f t="shared" si="40"/>
        <v>-1.2676223196303682E-2</v>
      </c>
      <c r="D568">
        <f t="shared" si="41"/>
        <v>1.0369540873460259</v>
      </c>
      <c r="E568">
        <f t="shared" si="42"/>
        <v>1.2566567127037467</v>
      </c>
      <c r="F568">
        <f t="shared" si="43"/>
        <v>-0.1748310601747568</v>
      </c>
      <c r="G568">
        <f t="shared" si="44"/>
        <v>0.16380055336984659</v>
      </c>
      <c r="H568" s="1"/>
    </row>
    <row r="569" spans="1:8" x14ac:dyDescent="0.45">
      <c r="A569" s="1">
        <v>45070</v>
      </c>
      <c r="B569">
        <v>331.65</v>
      </c>
      <c r="C569">
        <f t="shared" si="40"/>
        <v>-5.129589632829501E-3</v>
      </c>
      <c r="D569">
        <f t="shared" si="41"/>
        <v>1.0316349384098555</v>
      </c>
      <c r="E569">
        <f t="shared" si="42"/>
        <v>1.2566567127037467</v>
      </c>
      <c r="F569">
        <f t="shared" si="43"/>
        <v>-0.17906383821381722</v>
      </c>
      <c r="G569">
        <f t="shared" si="44"/>
        <v>0.16644722623363017</v>
      </c>
      <c r="H569" s="1"/>
    </row>
    <row r="570" spans="1:8" x14ac:dyDescent="0.45">
      <c r="A570" s="1">
        <v>45071</v>
      </c>
      <c r="B570">
        <v>339.72</v>
      </c>
      <c r="C570">
        <f t="shared" si="40"/>
        <v>2.4332881049299093E-2</v>
      </c>
      <c r="D570">
        <f t="shared" si="41"/>
        <v>1.0567375886524835</v>
      </c>
      <c r="E570">
        <f t="shared" si="42"/>
        <v>1.2566567127037467</v>
      </c>
      <c r="F570">
        <f t="shared" si="43"/>
        <v>-0.15908809624000597</v>
      </c>
      <c r="G570">
        <f t="shared" si="44"/>
        <v>0.16119436436012269</v>
      </c>
      <c r="H570" s="1"/>
    </row>
    <row r="571" spans="1:8" x14ac:dyDescent="0.45">
      <c r="A571" s="1">
        <v>45072</v>
      </c>
      <c r="B571">
        <v>348.4</v>
      </c>
      <c r="C571">
        <f t="shared" si="40"/>
        <v>2.5550453314494126E-2</v>
      </c>
      <c r="D571">
        <f t="shared" si="41"/>
        <v>1.0837377130770198</v>
      </c>
      <c r="E571">
        <f t="shared" si="42"/>
        <v>1.2566567127037467</v>
      </c>
      <c r="F571">
        <f t="shared" si="43"/>
        <v>-0.13760241590138389</v>
      </c>
      <c r="G571">
        <f t="shared" si="44"/>
        <v>0.1797267873216209</v>
      </c>
      <c r="H571" s="1"/>
    </row>
    <row r="572" spans="1:8" x14ac:dyDescent="0.45">
      <c r="A572" s="1">
        <v>45076</v>
      </c>
      <c r="B572">
        <v>349.98</v>
      </c>
      <c r="C572">
        <f t="shared" si="40"/>
        <v>4.5350172215845586E-3</v>
      </c>
      <c r="D572">
        <f t="shared" si="41"/>
        <v>1.0886524822695047</v>
      </c>
      <c r="E572">
        <f t="shared" si="42"/>
        <v>1.2566567127037467</v>
      </c>
      <c r="F572">
        <f t="shared" si="43"/>
        <v>-0.13369142800564382</v>
      </c>
      <c r="G572">
        <f t="shared" si="44"/>
        <v>0.17873066975104643</v>
      </c>
      <c r="H572" s="1"/>
    </row>
    <row r="573" spans="1:8" x14ac:dyDescent="0.45">
      <c r="A573" s="1">
        <v>45077</v>
      </c>
      <c r="B573">
        <v>347.99</v>
      </c>
      <c r="C573">
        <f t="shared" si="40"/>
        <v>-5.6860392022402007E-3</v>
      </c>
      <c r="D573">
        <f t="shared" si="41"/>
        <v>1.0824623615777043</v>
      </c>
      <c r="E573">
        <f t="shared" si="42"/>
        <v>1.2566567127037467</v>
      </c>
      <c r="F573">
        <f t="shared" si="43"/>
        <v>-0.13861729250724042</v>
      </c>
      <c r="G573">
        <f t="shared" si="44"/>
        <v>0.17612464321403692</v>
      </c>
      <c r="H573" s="1"/>
    </row>
    <row r="574" spans="1:8" x14ac:dyDescent="0.45">
      <c r="A574" s="1">
        <v>45078</v>
      </c>
      <c r="B574">
        <v>352.01</v>
      </c>
      <c r="C574">
        <f t="shared" si="40"/>
        <v>1.1552056093565799E-2</v>
      </c>
      <c r="D574">
        <f t="shared" si="41"/>
        <v>1.0949670274978236</v>
      </c>
      <c r="E574">
        <f t="shared" si="42"/>
        <v>1.2566567127037467</v>
      </c>
      <c r="F574">
        <f t="shared" si="43"/>
        <v>-0.12866655115225645</v>
      </c>
      <c r="G574">
        <f t="shared" si="44"/>
        <v>0.17295486090793519</v>
      </c>
      <c r="H574" s="1"/>
    </row>
    <row r="575" spans="1:8" x14ac:dyDescent="0.45">
      <c r="A575" s="1">
        <v>45079</v>
      </c>
      <c r="B575">
        <v>354.65</v>
      </c>
      <c r="C575">
        <f t="shared" si="40"/>
        <v>7.4997869378710114E-3</v>
      </c>
      <c r="D575">
        <f t="shared" si="41"/>
        <v>1.1031790469080511</v>
      </c>
      <c r="E575">
        <f t="shared" si="42"/>
        <v>1.2566567127037467</v>
      </c>
      <c r="F575">
        <f t="shared" si="43"/>
        <v>-0.12213173593405813</v>
      </c>
      <c r="G575">
        <f t="shared" si="44"/>
        <v>0.16992362595771759</v>
      </c>
      <c r="H575" s="1"/>
    </row>
    <row r="576" spans="1:8" x14ac:dyDescent="0.45">
      <c r="A576" s="1">
        <v>45082</v>
      </c>
      <c r="B576">
        <v>354.9</v>
      </c>
      <c r="C576">
        <f t="shared" si="40"/>
        <v>7.0492034400104764E-4</v>
      </c>
      <c r="D576">
        <f t="shared" si="41"/>
        <v>1.1039567002612922</v>
      </c>
      <c r="E576">
        <f t="shared" si="42"/>
        <v>1.2566567127037467</v>
      </c>
      <c r="F576">
        <f t="shared" si="43"/>
        <v>-0.12151290873536524</v>
      </c>
      <c r="G576">
        <f t="shared" si="44"/>
        <v>0.16055431397375608</v>
      </c>
      <c r="H576" s="1"/>
    </row>
    <row r="577" spans="1:8" x14ac:dyDescent="0.45">
      <c r="A577" s="1">
        <v>45083</v>
      </c>
      <c r="B577">
        <v>354.84</v>
      </c>
      <c r="C577">
        <f t="shared" si="40"/>
        <v>-1.6906170752328809E-4</v>
      </c>
      <c r="D577">
        <f t="shared" si="41"/>
        <v>1.1037700634565142</v>
      </c>
      <c r="E577">
        <f t="shared" si="42"/>
        <v>1.2566567127037467</v>
      </c>
      <c r="F577">
        <f t="shared" si="43"/>
        <v>-0.12166142726305162</v>
      </c>
      <c r="G577">
        <f t="shared" si="44"/>
        <v>0.16133191152157716</v>
      </c>
      <c r="H577" s="1"/>
    </row>
    <row r="578" spans="1:8" x14ac:dyDescent="0.45">
      <c r="A578" s="1">
        <v>45084</v>
      </c>
      <c r="B578">
        <v>348.82</v>
      </c>
      <c r="C578">
        <f t="shared" si="40"/>
        <v>-1.6965392853116823E-2</v>
      </c>
      <c r="D578">
        <f t="shared" si="41"/>
        <v>1.0850441707104648</v>
      </c>
      <c r="E578">
        <f t="shared" si="42"/>
        <v>1.2566567127037467</v>
      </c>
      <c r="F578">
        <f t="shared" si="43"/>
        <v>-0.13656278620757989</v>
      </c>
      <c r="G578">
        <f t="shared" si="44"/>
        <v>0.17478808102145404</v>
      </c>
      <c r="H578" s="1"/>
    </row>
    <row r="579" spans="1:8" x14ac:dyDescent="0.45">
      <c r="A579" s="1">
        <v>45085</v>
      </c>
      <c r="B579">
        <v>353.15</v>
      </c>
      <c r="C579">
        <f t="shared" si="40"/>
        <v>1.2413279055099924E-2</v>
      </c>
      <c r="D579">
        <f t="shared" si="41"/>
        <v>1.0985131267886032</v>
      </c>
      <c r="E579">
        <f t="shared" si="42"/>
        <v>1.2566567127037467</v>
      </c>
      <c r="F579">
        <f t="shared" si="43"/>
        <v>-0.12584469912621665</v>
      </c>
      <c r="G579">
        <f t="shared" si="44"/>
        <v>0.17565609950248137</v>
      </c>
      <c r="H579" s="1"/>
    </row>
    <row r="580" spans="1:8" x14ac:dyDescent="0.45">
      <c r="A580" s="1">
        <v>45086</v>
      </c>
      <c r="B580">
        <v>354.5</v>
      </c>
      <c r="C580">
        <f t="shared" ref="C580:C643" si="45">IFERROR((B580/B579)-1,"")</f>
        <v>3.8227382132238752E-3</v>
      </c>
      <c r="D580">
        <f t="shared" ref="D580:D643" si="46">D579*(1+C580)</f>
        <v>1.102712454896106</v>
      </c>
      <c r="E580">
        <f t="shared" ref="E580:E643" si="47">MAX(E579,D580)</f>
        <v>1.2566567127037467</v>
      </c>
      <c r="F580">
        <f t="shared" ref="F580:F643" si="48">D580/E580-1</f>
        <v>-0.12250303225327419</v>
      </c>
      <c r="G580">
        <f t="shared" si="44"/>
        <v>0.17562759878964654</v>
      </c>
      <c r="H580" s="1"/>
    </row>
    <row r="581" spans="1:8" x14ac:dyDescent="0.45">
      <c r="A581" s="1">
        <v>45089</v>
      </c>
      <c r="B581">
        <v>360.49</v>
      </c>
      <c r="C581">
        <f t="shared" si="45"/>
        <v>1.6897038081805427E-2</v>
      </c>
      <c r="D581">
        <f t="shared" si="46"/>
        <v>1.1213450292397666</v>
      </c>
      <c r="E581">
        <f t="shared" si="47"/>
        <v>1.2566567127037467</v>
      </c>
      <c r="F581">
        <f t="shared" si="48"/>
        <v>-0.10767593257258901</v>
      </c>
      <c r="G581">
        <f t="shared" si="44"/>
        <v>0.17856791647968218</v>
      </c>
      <c r="H581" s="1"/>
    </row>
    <row r="582" spans="1:8" x14ac:dyDescent="0.45">
      <c r="A582" s="1">
        <v>45090</v>
      </c>
      <c r="B582">
        <v>363.26</v>
      </c>
      <c r="C582">
        <f t="shared" si="45"/>
        <v>7.6839856861492528E-3</v>
      </c>
      <c r="D582">
        <f t="shared" si="46"/>
        <v>1.1299614283936796</v>
      </c>
      <c r="E582">
        <f t="shared" si="47"/>
        <v>1.2566567127037467</v>
      </c>
      <c r="F582">
        <f t="shared" si="48"/>
        <v>-0.10081932721107034</v>
      </c>
      <c r="G582">
        <f t="shared" si="44"/>
        <v>0.17877714374837014</v>
      </c>
      <c r="H582" s="1"/>
    </row>
    <row r="583" spans="1:8" x14ac:dyDescent="0.45">
      <c r="A583" s="1">
        <v>45091</v>
      </c>
      <c r="B583">
        <v>365.9</v>
      </c>
      <c r="C583">
        <f t="shared" si="45"/>
        <v>7.2675218851510071E-3</v>
      </c>
      <c r="D583">
        <f t="shared" si="46"/>
        <v>1.1381734478039072</v>
      </c>
      <c r="E583">
        <f t="shared" si="47"/>
        <v>1.2566567127037467</v>
      </c>
      <c r="F583">
        <f t="shared" si="48"/>
        <v>-9.4284511992872022E-2</v>
      </c>
      <c r="G583">
        <f t="shared" si="44"/>
        <v>0.17817644433933641</v>
      </c>
      <c r="H583" s="1"/>
    </row>
    <row r="584" spans="1:8" x14ac:dyDescent="0.45">
      <c r="A584" s="1">
        <v>45092</v>
      </c>
      <c r="B584">
        <v>370.26</v>
      </c>
      <c r="C584">
        <f t="shared" si="45"/>
        <v>1.1915823995627184E-2</v>
      </c>
      <c r="D584">
        <f t="shared" si="46"/>
        <v>1.1517357222844347</v>
      </c>
      <c r="E584">
        <f t="shared" si="47"/>
        <v>1.2566567127037467</v>
      </c>
      <c r="F584">
        <f t="shared" si="48"/>
        <v>-8.3492165647665484E-2</v>
      </c>
      <c r="G584">
        <f t="shared" si="44"/>
        <v>0.17808747954886076</v>
      </c>
      <c r="H584" s="1"/>
    </row>
    <row r="585" spans="1:8" x14ac:dyDescent="0.45">
      <c r="A585" s="1">
        <v>45093</v>
      </c>
      <c r="B585">
        <v>367.93</v>
      </c>
      <c r="C585">
        <f t="shared" si="45"/>
        <v>-6.2928752768324214E-3</v>
      </c>
      <c r="D585">
        <f t="shared" si="46"/>
        <v>1.1444879930322263</v>
      </c>
      <c r="E585">
        <f t="shared" si="47"/>
        <v>1.2566567127037467</v>
      </c>
      <c r="F585">
        <f t="shared" si="48"/>
        <v>-8.9259635139484539E-2</v>
      </c>
      <c r="G585">
        <f t="shared" si="44"/>
        <v>0.1760375953943967</v>
      </c>
      <c r="H585" s="1"/>
    </row>
    <row r="586" spans="1:8" x14ac:dyDescent="0.45">
      <c r="A586" s="1">
        <v>45097</v>
      </c>
      <c r="B586">
        <v>366.9</v>
      </c>
      <c r="C586">
        <f t="shared" si="45"/>
        <v>-2.7994455467073021E-3</v>
      </c>
      <c r="D586">
        <f t="shared" si="46"/>
        <v>1.1412840612168722</v>
      </c>
      <c r="E586">
        <f t="shared" si="47"/>
        <v>1.2566567127037467</v>
      </c>
      <c r="F586">
        <f t="shared" si="48"/>
        <v>-9.180920319809982E-2</v>
      </c>
      <c r="G586">
        <f t="shared" si="44"/>
        <v>0.17632250895221832</v>
      </c>
      <c r="H586" s="1"/>
    </row>
    <row r="587" spans="1:8" x14ac:dyDescent="0.45">
      <c r="A587" s="1">
        <v>45098</v>
      </c>
      <c r="B587">
        <v>361.9</v>
      </c>
      <c r="C587">
        <f t="shared" si="45"/>
        <v>-1.3627691469065173E-2</v>
      </c>
      <c r="D587">
        <f t="shared" si="46"/>
        <v>1.125730994152047</v>
      </c>
      <c r="E587">
        <f t="shared" si="47"/>
        <v>1.2566567127037467</v>
      </c>
      <c r="F587">
        <f t="shared" si="48"/>
        <v>-0.10418574717196061</v>
      </c>
      <c r="G587">
        <f t="shared" si="44"/>
        <v>0.18759056747235844</v>
      </c>
      <c r="H587" s="1"/>
    </row>
    <row r="588" spans="1:8" x14ac:dyDescent="0.45">
      <c r="A588" s="1">
        <v>45099</v>
      </c>
      <c r="B588">
        <v>366.17</v>
      </c>
      <c r="C588">
        <f t="shared" si="45"/>
        <v>1.179883945841409E-2</v>
      </c>
      <c r="D588">
        <f t="shared" si="46"/>
        <v>1.1390133134254079</v>
      </c>
      <c r="E588">
        <f t="shared" si="47"/>
        <v>1.2566567127037467</v>
      </c>
      <c r="F588">
        <f t="shared" si="48"/>
        <v>-9.3616178618283419E-2</v>
      </c>
      <c r="G588">
        <f t="shared" si="44"/>
        <v>0.1794684486284247</v>
      </c>
      <c r="H588" s="1"/>
    </row>
    <row r="589" spans="1:8" x14ac:dyDescent="0.45">
      <c r="A589" s="1">
        <v>45100</v>
      </c>
      <c r="B589">
        <v>362.54</v>
      </c>
      <c r="C589">
        <f t="shared" si="45"/>
        <v>-9.9134281890924658E-3</v>
      </c>
      <c r="D589">
        <f t="shared" si="46"/>
        <v>1.1277217867363449</v>
      </c>
      <c r="E589">
        <f t="shared" si="47"/>
        <v>1.2566567127037467</v>
      </c>
      <c r="F589">
        <f t="shared" si="48"/>
        <v>-0.10260154954330614</v>
      </c>
      <c r="G589">
        <f t="shared" si="44"/>
        <v>0.18371963202773373</v>
      </c>
      <c r="H589" s="1"/>
    </row>
    <row r="590" spans="1:8" x14ac:dyDescent="0.45">
      <c r="A590" s="1">
        <v>45103</v>
      </c>
      <c r="B590">
        <v>357.68</v>
      </c>
      <c r="C590">
        <f t="shared" si="45"/>
        <v>-1.3405417333259839E-2</v>
      </c>
      <c r="D590">
        <f t="shared" si="46"/>
        <v>1.1126042055493348</v>
      </c>
      <c r="E590">
        <f t="shared" si="47"/>
        <v>1.2566567127037467</v>
      </c>
      <c r="F590">
        <f t="shared" si="48"/>
        <v>-0.11463155028589889</v>
      </c>
      <c r="G590">
        <f t="shared" si="44"/>
        <v>0.17852099012313727</v>
      </c>
      <c r="H590" s="1"/>
    </row>
    <row r="591" spans="1:8" x14ac:dyDescent="0.45">
      <c r="A591" s="1">
        <v>45104</v>
      </c>
      <c r="B591">
        <v>363.83</v>
      </c>
      <c r="C591">
        <f t="shared" si="45"/>
        <v>1.7194140013419679E-2</v>
      </c>
      <c r="D591">
        <f t="shared" si="46"/>
        <v>1.1317344780390697</v>
      </c>
      <c r="E591">
        <f t="shared" si="47"/>
        <v>1.2566567127037467</v>
      </c>
      <c r="F591">
        <f t="shared" si="48"/>
        <v>-9.9408401198050278E-2</v>
      </c>
      <c r="G591">
        <f t="shared" si="44"/>
        <v>0.16634601426134285</v>
      </c>
      <c r="H591" s="1"/>
    </row>
    <row r="592" spans="1:8" x14ac:dyDescent="0.45">
      <c r="A592" s="1">
        <v>45105</v>
      </c>
      <c r="B592">
        <v>364.54</v>
      </c>
      <c r="C592">
        <f t="shared" si="45"/>
        <v>1.9514608470989625E-3</v>
      </c>
      <c r="D592">
        <f t="shared" si="46"/>
        <v>1.133943013562275</v>
      </c>
      <c r="E592">
        <f t="shared" si="47"/>
        <v>1.2566567127037467</v>
      </c>
      <c r="F592">
        <f t="shared" si="48"/>
        <v>-9.7650931953761844E-2</v>
      </c>
      <c r="G592">
        <f t="shared" si="44"/>
        <v>0.1661220442150719</v>
      </c>
      <c r="H592" s="1"/>
    </row>
    <row r="593" spans="1:8" x14ac:dyDescent="0.45">
      <c r="A593" s="1">
        <v>45106</v>
      </c>
      <c r="B593">
        <v>363.81</v>
      </c>
      <c r="C593">
        <f t="shared" si="45"/>
        <v>-2.0025237285345998E-3</v>
      </c>
      <c r="D593">
        <f t="shared" si="46"/>
        <v>1.1316722657708105</v>
      </c>
      <c r="E593">
        <f t="shared" si="47"/>
        <v>1.2566567127037467</v>
      </c>
      <c r="F593">
        <f t="shared" si="48"/>
        <v>-9.9457907373945553E-2</v>
      </c>
      <c r="G593">
        <f t="shared" si="44"/>
        <v>0.16433955730519476</v>
      </c>
      <c r="H593" s="1"/>
    </row>
    <row r="594" spans="1:8" x14ac:dyDescent="0.45">
      <c r="A594" s="1">
        <v>45107</v>
      </c>
      <c r="B594">
        <v>369.42</v>
      </c>
      <c r="C594">
        <f t="shared" si="45"/>
        <v>1.5420136884637614E-2</v>
      </c>
      <c r="D594">
        <f t="shared" si="46"/>
        <v>1.1491228070175443</v>
      </c>
      <c r="E594">
        <f t="shared" si="47"/>
        <v>1.2566567127037467</v>
      </c>
      <c r="F594">
        <f t="shared" si="48"/>
        <v>-8.5571425035273929E-2</v>
      </c>
      <c r="G594">
        <f t="shared" si="44"/>
        <v>0.16777294411318366</v>
      </c>
      <c r="H594" s="1"/>
    </row>
    <row r="595" spans="1:8" x14ac:dyDescent="0.45">
      <c r="A595" s="1">
        <v>45110</v>
      </c>
      <c r="B595">
        <v>370.29</v>
      </c>
      <c r="C595">
        <f t="shared" si="45"/>
        <v>2.3550430404417622E-3</v>
      </c>
      <c r="D595">
        <f t="shared" si="46"/>
        <v>1.1518290406868239</v>
      </c>
      <c r="E595">
        <f t="shared" si="47"/>
        <v>1.2566567127037467</v>
      </c>
      <c r="F595">
        <f t="shared" si="48"/>
        <v>-8.3417906383822071E-2</v>
      </c>
      <c r="G595">
        <f t="shared" si="44"/>
        <v>0.16671772509159682</v>
      </c>
      <c r="H595" s="1"/>
    </row>
    <row r="596" spans="1:8" x14ac:dyDescent="0.45">
      <c r="A596" s="1">
        <v>45112</v>
      </c>
      <c r="B596">
        <v>370.28</v>
      </c>
      <c r="C596">
        <f t="shared" si="45"/>
        <v>-2.7005860271822613E-5</v>
      </c>
      <c r="D596">
        <f t="shared" si="46"/>
        <v>1.1517979345526941</v>
      </c>
      <c r="E596">
        <f t="shared" si="47"/>
        <v>1.2566567127037467</v>
      </c>
      <c r="F596">
        <f t="shared" si="48"/>
        <v>-8.3442659471769987E-2</v>
      </c>
      <c r="G596">
        <f t="shared" si="44"/>
        <v>0.16682571480040309</v>
      </c>
      <c r="H596" s="1"/>
    </row>
    <row r="597" spans="1:8" x14ac:dyDescent="0.45">
      <c r="A597" s="1">
        <v>45113</v>
      </c>
      <c r="B597">
        <v>367.46</v>
      </c>
      <c r="C597">
        <f t="shared" si="45"/>
        <v>-7.6158582694176857E-3</v>
      </c>
      <c r="D597">
        <f t="shared" si="46"/>
        <v>1.1430260047281326</v>
      </c>
      <c r="E597">
        <f t="shared" si="47"/>
        <v>1.2566567127037467</v>
      </c>
      <c r="F597">
        <f t="shared" si="48"/>
        <v>-9.0423030273027449E-2</v>
      </c>
      <c r="G597">
        <f t="shared" si="44"/>
        <v>0.17027259211700854</v>
      </c>
      <c r="H597" s="1"/>
    </row>
    <row r="598" spans="1:8" x14ac:dyDescent="0.45">
      <c r="A598" s="1">
        <v>45114</v>
      </c>
      <c r="B598">
        <v>366.24</v>
      </c>
      <c r="C598">
        <f t="shared" si="45"/>
        <v>-3.320089261416137E-3</v>
      </c>
      <c r="D598">
        <f t="shared" si="46"/>
        <v>1.1392310563643153</v>
      </c>
      <c r="E598">
        <f t="shared" si="47"/>
        <v>1.2566567127037467</v>
      </c>
      <c r="F598">
        <f t="shared" si="48"/>
        <v>-9.3442907002649456E-2</v>
      </c>
      <c r="G598">
        <f t="shared" ref="G598:G661" si="49">_xlfn.STDEV.S(C579:C598)*SQRT(252)</f>
        <v>0.15666912813228406</v>
      </c>
      <c r="H598" s="1"/>
    </row>
    <row r="599" spans="1:8" x14ac:dyDescent="0.45">
      <c r="A599" s="1">
        <v>45117</v>
      </c>
      <c r="B599">
        <v>366.36</v>
      </c>
      <c r="C599">
        <f t="shared" si="45"/>
        <v>3.2765399737888501E-4</v>
      </c>
      <c r="D599">
        <f t="shared" si="46"/>
        <v>1.1396043299738712</v>
      </c>
      <c r="E599">
        <f t="shared" si="47"/>
        <v>1.2566567127037467</v>
      </c>
      <c r="F599">
        <f t="shared" si="48"/>
        <v>-9.3145869947276694E-2</v>
      </c>
      <c r="G599">
        <f t="shared" si="49"/>
        <v>0.15232522464761905</v>
      </c>
      <c r="H599" s="1"/>
    </row>
    <row r="600" spans="1:8" x14ac:dyDescent="0.45">
      <c r="A600" s="1">
        <v>45118</v>
      </c>
      <c r="B600">
        <v>368.17</v>
      </c>
      <c r="C600">
        <f t="shared" si="45"/>
        <v>4.9404956873020378E-3</v>
      </c>
      <c r="D600">
        <f t="shared" si="46"/>
        <v>1.1452345402513378</v>
      </c>
      <c r="E600">
        <f t="shared" si="47"/>
        <v>1.2566567127037467</v>
      </c>
      <c r="F600">
        <f t="shared" si="48"/>
        <v>-8.8665561028739237E-2</v>
      </c>
      <c r="G600">
        <f t="shared" si="49"/>
        <v>0.15256563798425435</v>
      </c>
      <c r="H600" s="1"/>
    </row>
    <row r="601" spans="1:8" x14ac:dyDescent="0.45">
      <c r="A601" s="1">
        <v>45119</v>
      </c>
      <c r="B601">
        <v>372.82</v>
      </c>
      <c r="C601">
        <f t="shared" si="45"/>
        <v>1.2630035038161624E-2</v>
      </c>
      <c r="D601">
        <f t="shared" si="46"/>
        <v>1.1596988926216252</v>
      </c>
      <c r="E601">
        <f t="shared" si="47"/>
        <v>1.2566567127037467</v>
      </c>
      <c r="F601">
        <f t="shared" si="48"/>
        <v>-7.715537513304882E-2</v>
      </c>
      <c r="G601">
        <f t="shared" si="49"/>
        <v>0.14769033611926219</v>
      </c>
      <c r="H601" s="1"/>
    </row>
    <row r="602" spans="1:8" x14ac:dyDescent="0.45">
      <c r="A602" s="1">
        <v>45120</v>
      </c>
      <c r="B602">
        <v>379.15</v>
      </c>
      <c r="C602">
        <f t="shared" si="45"/>
        <v>1.6978702859288708E-2</v>
      </c>
      <c r="D602">
        <f t="shared" si="46"/>
        <v>1.1793890755256939</v>
      </c>
      <c r="E602">
        <f t="shared" si="47"/>
        <v>1.2566567127037467</v>
      </c>
      <c r="F602">
        <f t="shared" si="48"/>
        <v>-6.1486670462141069E-2</v>
      </c>
      <c r="G602">
        <f t="shared" si="49"/>
        <v>0.1561102932982075</v>
      </c>
      <c r="H602" s="1"/>
    </row>
    <row r="603" spans="1:8" x14ac:dyDescent="0.45">
      <c r="A603" s="1">
        <v>45121</v>
      </c>
      <c r="B603">
        <v>379.07</v>
      </c>
      <c r="C603">
        <f t="shared" si="45"/>
        <v>-2.1099828563886369E-4</v>
      </c>
      <c r="D603">
        <f t="shared" si="46"/>
        <v>1.1791402264526569</v>
      </c>
      <c r="E603">
        <f t="shared" si="47"/>
        <v>1.2566567127037467</v>
      </c>
      <c r="F603">
        <f t="shared" si="48"/>
        <v>-6.1684695165722725E-2</v>
      </c>
      <c r="G603">
        <f t="shared" si="49"/>
        <v>0.15513739210777919</v>
      </c>
      <c r="H603" s="1"/>
    </row>
    <row r="604" spans="1:8" x14ac:dyDescent="0.45">
      <c r="A604" s="1">
        <v>45124</v>
      </c>
      <c r="B604">
        <v>382.61</v>
      </c>
      <c r="C604">
        <f t="shared" si="45"/>
        <v>9.3386445775187621E-3</v>
      </c>
      <c r="D604">
        <f t="shared" si="46"/>
        <v>1.1901517979345533</v>
      </c>
      <c r="E604">
        <f t="shared" si="47"/>
        <v>1.2566567127037467</v>
      </c>
      <c r="F604">
        <f t="shared" si="48"/>
        <v>-5.2922102032229135E-2</v>
      </c>
      <c r="G604">
        <f t="shared" si="49"/>
        <v>0.15316907043772884</v>
      </c>
      <c r="H604" s="1"/>
    </row>
    <row r="605" spans="1:8" x14ac:dyDescent="0.45">
      <c r="A605" s="1">
        <v>45125</v>
      </c>
      <c r="B605">
        <v>385.74</v>
      </c>
      <c r="C605">
        <f t="shared" si="45"/>
        <v>8.180653929588777E-3</v>
      </c>
      <c r="D605">
        <f t="shared" si="46"/>
        <v>1.1998880179171336</v>
      </c>
      <c r="E605">
        <f t="shared" si="47"/>
        <v>1.2566567127037467</v>
      </c>
      <c r="F605">
        <f t="shared" si="48"/>
        <v>-4.5174385504592518E-2</v>
      </c>
      <c r="G605">
        <f t="shared" si="49"/>
        <v>0.15177921189202331</v>
      </c>
      <c r="H605" s="1"/>
    </row>
    <row r="606" spans="1:8" x14ac:dyDescent="0.45">
      <c r="A606" s="1">
        <v>45126</v>
      </c>
      <c r="B606">
        <v>385.65</v>
      </c>
      <c r="C606">
        <f t="shared" si="45"/>
        <v>-2.333177788148566E-4</v>
      </c>
      <c r="D606">
        <f t="shared" si="46"/>
        <v>1.1996080627099666</v>
      </c>
      <c r="E606">
        <f t="shared" si="47"/>
        <v>1.2566567127037467</v>
      </c>
      <c r="F606">
        <f t="shared" si="48"/>
        <v>-4.53971632961222E-2</v>
      </c>
      <c r="G606">
        <f t="shared" si="49"/>
        <v>0.15088179622031633</v>
      </c>
      <c r="H606" s="1"/>
    </row>
    <row r="607" spans="1:8" x14ac:dyDescent="0.45">
      <c r="A607" s="1">
        <v>45127</v>
      </c>
      <c r="B607">
        <v>376.76</v>
      </c>
      <c r="C607">
        <f t="shared" si="45"/>
        <v>-2.305199014650583E-2</v>
      </c>
      <c r="D607">
        <f t="shared" si="46"/>
        <v>1.1719547094687075</v>
      </c>
      <c r="E607">
        <f t="shared" si="47"/>
        <v>1.2566567127037467</v>
      </c>
      <c r="F607">
        <f t="shared" si="48"/>
        <v>-6.7402658481646505E-2</v>
      </c>
      <c r="G607">
        <f t="shared" si="49"/>
        <v>0.1671098485633554</v>
      </c>
      <c r="H607" s="1"/>
    </row>
    <row r="608" spans="1:8" x14ac:dyDescent="0.45">
      <c r="A608" s="1">
        <v>45128</v>
      </c>
      <c r="B608">
        <v>375.63</v>
      </c>
      <c r="C608">
        <f t="shared" si="45"/>
        <v>-2.9992568213186299E-3</v>
      </c>
      <c r="D608">
        <f t="shared" si="46"/>
        <v>1.168439716312057</v>
      </c>
      <c r="E608">
        <f t="shared" si="47"/>
        <v>1.2566567127037467</v>
      </c>
      <c r="F608">
        <f t="shared" si="48"/>
        <v>-7.0199757419739051E-2</v>
      </c>
      <c r="G608">
        <f t="shared" si="49"/>
        <v>0.16390446785799065</v>
      </c>
      <c r="H608" s="1"/>
    </row>
    <row r="609" spans="1:8" x14ac:dyDescent="0.45">
      <c r="A609" s="1">
        <v>45131</v>
      </c>
      <c r="B609">
        <v>376.23</v>
      </c>
      <c r="C609">
        <f t="shared" si="45"/>
        <v>1.5973165082661112E-3</v>
      </c>
      <c r="D609">
        <f t="shared" si="46"/>
        <v>1.1703060843598361</v>
      </c>
      <c r="E609">
        <f t="shared" si="47"/>
        <v>1.2566567127037467</v>
      </c>
      <c r="F609">
        <f t="shared" si="48"/>
        <v>-6.8714572142875685E-2</v>
      </c>
      <c r="G609">
        <f t="shared" si="49"/>
        <v>0.15843629160581571</v>
      </c>
      <c r="H609" s="1"/>
    </row>
    <row r="610" spans="1:8" x14ac:dyDescent="0.45">
      <c r="A610" s="1">
        <v>45132</v>
      </c>
      <c r="B610">
        <v>378.78</v>
      </c>
      <c r="C610">
        <f t="shared" si="45"/>
        <v>6.7777689179489009E-3</v>
      </c>
      <c r="D610">
        <f t="shared" si="46"/>
        <v>1.1782381485628965</v>
      </c>
      <c r="E610">
        <f t="shared" si="47"/>
        <v>1.2566567127037467</v>
      </c>
      <c r="F610">
        <f t="shared" si="48"/>
        <v>-6.2402534716207048E-2</v>
      </c>
      <c r="G610">
        <f t="shared" si="49"/>
        <v>0.14845614607893939</v>
      </c>
      <c r="H610" s="1"/>
    </row>
    <row r="611" spans="1:8" x14ac:dyDescent="0.45">
      <c r="A611" s="1">
        <v>45133</v>
      </c>
      <c r="B611">
        <v>377.52</v>
      </c>
      <c r="C611">
        <f t="shared" si="45"/>
        <v>-3.3264691905591226E-3</v>
      </c>
      <c r="D611">
        <f t="shared" si="46"/>
        <v>1.1743187756625606</v>
      </c>
      <c r="E611">
        <f t="shared" si="47"/>
        <v>1.2566567127037467</v>
      </c>
      <c r="F611">
        <f t="shared" si="48"/>
        <v>-6.5521423797619938E-2</v>
      </c>
      <c r="G611">
        <f t="shared" si="49"/>
        <v>0.13989460141085275</v>
      </c>
      <c r="H611" s="1"/>
    </row>
    <row r="612" spans="1:8" x14ac:dyDescent="0.45">
      <c r="A612" s="1">
        <v>45134</v>
      </c>
      <c r="B612">
        <v>376.62</v>
      </c>
      <c r="C612">
        <f t="shared" si="45"/>
        <v>-2.3839796567068916E-3</v>
      </c>
      <c r="D612">
        <f t="shared" si="46"/>
        <v>1.171519223590892</v>
      </c>
      <c r="E612">
        <f t="shared" si="47"/>
        <v>1.2566567127037467</v>
      </c>
      <c r="F612">
        <f t="shared" si="48"/>
        <v>-6.7749201712914875E-2</v>
      </c>
      <c r="G612">
        <f t="shared" si="49"/>
        <v>0.14071157119142017</v>
      </c>
      <c r="H612" s="1"/>
    </row>
    <row r="613" spans="1:8" x14ac:dyDescent="0.45">
      <c r="A613" s="1">
        <v>45135</v>
      </c>
      <c r="B613">
        <v>383.48</v>
      </c>
      <c r="C613">
        <f t="shared" si="45"/>
        <v>1.821464606234402E-2</v>
      </c>
      <c r="D613">
        <f t="shared" si="46"/>
        <v>1.1928580316038322</v>
      </c>
      <c r="E613">
        <f t="shared" si="47"/>
        <v>1.2566567127037467</v>
      </c>
      <c r="F613">
        <f t="shared" si="48"/>
        <v>-5.0768583380777943E-2</v>
      </c>
      <c r="G613">
        <f t="shared" si="49"/>
        <v>0.15159465232664796</v>
      </c>
      <c r="H613" s="1"/>
    </row>
    <row r="614" spans="1:8" x14ac:dyDescent="0.45">
      <c r="A614" s="1">
        <v>45138</v>
      </c>
      <c r="B614">
        <v>383.68</v>
      </c>
      <c r="C614">
        <f t="shared" si="45"/>
        <v>5.2153958485456897E-4</v>
      </c>
      <c r="D614">
        <f t="shared" si="46"/>
        <v>1.1934801542864253</v>
      </c>
      <c r="E614">
        <f t="shared" si="47"/>
        <v>1.2566567127037467</v>
      </c>
      <c r="F614">
        <f t="shared" si="48"/>
        <v>-5.0273521621823414E-2</v>
      </c>
      <c r="G614">
        <f t="shared" si="49"/>
        <v>0.14402297733797848</v>
      </c>
      <c r="H614" s="1"/>
    </row>
    <row r="615" spans="1:8" x14ac:dyDescent="0.45">
      <c r="A615" s="1">
        <v>45139</v>
      </c>
      <c r="B615">
        <v>382.79</v>
      </c>
      <c r="C615">
        <f t="shared" si="45"/>
        <v>-2.3196413678064909E-3</v>
      </c>
      <c r="D615">
        <f t="shared" si="46"/>
        <v>1.1907117083488865</v>
      </c>
      <c r="E615">
        <f t="shared" si="47"/>
        <v>1.2566567127037467</v>
      </c>
      <c r="F615">
        <f t="shared" si="48"/>
        <v>-5.2476546449170547E-2</v>
      </c>
      <c r="G615">
        <f t="shared" si="49"/>
        <v>0.14479584031123027</v>
      </c>
      <c r="H615" s="1"/>
    </row>
    <row r="616" spans="1:8" x14ac:dyDescent="0.45">
      <c r="A616" s="1">
        <v>45140</v>
      </c>
      <c r="B616">
        <v>374.39</v>
      </c>
      <c r="C616">
        <f t="shared" si="45"/>
        <v>-2.1944146921288543E-2</v>
      </c>
      <c r="D616">
        <f t="shared" si="46"/>
        <v>1.16458255567998</v>
      </c>
      <c r="E616">
        <f t="shared" si="47"/>
        <v>1.2566567127037467</v>
      </c>
      <c r="F616">
        <f t="shared" si="48"/>
        <v>-7.3269140325256776E-2</v>
      </c>
      <c r="G616">
        <f t="shared" si="49"/>
        <v>0.16740066084627253</v>
      </c>
      <c r="H616" s="1"/>
    </row>
    <row r="617" spans="1:8" x14ac:dyDescent="0.45">
      <c r="A617" s="1">
        <v>45141</v>
      </c>
      <c r="B617">
        <v>373.79</v>
      </c>
      <c r="C617">
        <f t="shared" si="45"/>
        <v>-1.6026069072356819E-3</v>
      </c>
      <c r="D617">
        <f t="shared" si="46"/>
        <v>1.1627161876322012</v>
      </c>
      <c r="E617">
        <f t="shared" si="47"/>
        <v>1.2566567127037467</v>
      </c>
      <c r="F617">
        <f t="shared" si="48"/>
        <v>-7.475432560211992E-2</v>
      </c>
      <c r="G617">
        <f t="shared" si="49"/>
        <v>0.16482496543004871</v>
      </c>
      <c r="H617" s="1"/>
    </row>
    <row r="618" spans="1:8" x14ac:dyDescent="0.45">
      <c r="A618" s="1">
        <v>45142</v>
      </c>
      <c r="B618">
        <v>372.04</v>
      </c>
      <c r="C618">
        <f t="shared" si="45"/>
        <v>-4.6817731881537705E-3</v>
      </c>
      <c r="D618">
        <f t="shared" si="46"/>
        <v>1.1572726141595124</v>
      </c>
      <c r="E618">
        <f t="shared" si="47"/>
        <v>1.2566567127037467</v>
      </c>
      <c r="F618">
        <f t="shared" si="48"/>
        <v>-7.9086115992971107E-2</v>
      </c>
      <c r="G618">
        <f t="shared" si="49"/>
        <v>0.16535800892136623</v>
      </c>
      <c r="H618" s="1"/>
    </row>
    <row r="619" spans="1:8" x14ac:dyDescent="0.45">
      <c r="A619" s="1">
        <v>45145</v>
      </c>
      <c r="B619">
        <v>375.19</v>
      </c>
      <c r="C619">
        <f t="shared" si="45"/>
        <v>8.4668315234921465E-3</v>
      </c>
      <c r="D619">
        <f t="shared" si="46"/>
        <v>1.1670710464103524</v>
      </c>
      <c r="E619">
        <f t="shared" si="47"/>
        <v>1.2566567127037467</v>
      </c>
      <c r="F619">
        <f t="shared" si="48"/>
        <v>-7.1288893289438771E-2</v>
      </c>
      <c r="G619">
        <f t="shared" si="49"/>
        <v>0.16753465618740843</v>
      </c>
      <c r="H619" s="1"/>
    </row>
    <row r="620" spans="1:8" x14ac:dyDescent="0.45">
      <c r="A620" s="1">
        <v>45146</v>
      </c>
      <c r="B620">
        <v>372</v>
      </c>
      <c r="C620">
        <f t="shared" si="45"/>
        <v>-8.5023588048721566E-3</v>
      </c>
      <c r="D620">
        <f t="shared" si="46"/>
        <v>1.157148189622994</v>
      </c>
      <c r="E620">
        <f t="shared" si="47"/>
        <v>1.2566567127037467</v>
      </c>
      <c r="F620">
        <f t="shared" si="48"/>
        <v>-7.9185128344761768E-2</v>
      </c>
      <c r="G620">
        <f t="shared" si="49"/>
        <v>0.17037283273115905</v>
      </c>
      <c r="H620" s="1"/>
    </row>
    <row r="621" spans="1:8" x14ac:dyDescent="0.45">
      <c r="A621" s="1">
        <v>45147</v>
      </c>
      <c r="B621">
        <v>367.91</v>
      </c>
      <c r="C621">
        <f t="shared" si="45"/>
        <v>-1.099462365591386E-2</v>
      </c>
      <c r="D621">
        <f t="shared" si="46"/>
        <v>1.1444257807639673</v>
      </c>
      <c r="E621">
        <f t="shared" si="47"/>
        <v>1.2566567127037467</v>
      </c>
      <c r="F621">
        <f t="shared" si="48"/>
        <v>-8.9309141315379703E-2</v>
      </c>
      <c r="G621">
        <f t="shared" si="49"/>
        <v>0.16882861314033412</v>
      </c>
      <c r="H621" s="1"/>
    </row>
    <row r="622" spans="1:8" x14ac:dyDescent="0.45">
      <c r="A622" s="1">
        <v>45148</v>
      </c>
      <c r="B622">
        <v>368.59</v>
      </c>
      <c r="C622">
        <f t="shared" si="45"/>
        <v>1.8482781114945723E-3</v>
      </c>
      <c r="D622">
        <f t="shared" si="46"/>
        <v>1.1465409978847834</v>
      </c>
      <c r="E622">
        <f t="shared" si="47"/>
        <v>1.2566567127037467</v>
      </c>
      <c r="F622">
        <f t="shared" si="48"/>
        <v>-8.7625931334934792E-2</v>
      </c>
      <c r="G622">
        <f t="shared" si="49"/>
        <v>0.15597696078745862</v>
      </c>
      <c r="H622" s="1"/>
    </row>
    <row r="623" spans="1:8" x14ac:dyDescent="0.45">
      <c r="A623" s="1">
        <v>45149</v>
      </c>
      <c r="B623">
        <v>366.24</v>
      </c>
      <c r="C623">
        <f t="shared" si="45"/>
        <v>-6.3756477386797128E-3</v>
      </c>
      <c r="D623">
        <f t="shared" si="46"/>
        <v>1.1392310563643158</v>
      </c>
      <c r="E623">
        <f t="shared" si="47"/>
        <v>1.2566567127037467</v>
      </c>
      <c r="F623">
        <f t="shared" si="48"/>
        <v>-9.3442907002649123E-2</v>
      </c>
      <c r="G623">
        <f t="shared" si="49"/>
        <v>0.15690409619308168</v>
      </c>
      <c r="H623" s="1"/>
    </row>
    <row r="624" spans="1:8" x14ac:dyDescent="0.45">
      <c r="A624" s="1">
        <v>45152</v>
      </c>
      <c r="B624">
        <v>370.35</v>
      </c>
      <c r="C624">
        <f t="shared" si="45"/>
        <v>1.1222149410222926E-2</v>
      </c>
      <c r="D624">
        <f t="shared" si="46"/>
        <v>1.1520156774916022</v>
      </c>
      <c r="E624">
        <f t="shared" si="47"/>
        <v>1.2566567127037467</v>
      </c>
      <c r="F624">
        <f t="shared" si="48"/>
        <v>-8.3269387856135468E-2</v>
      </c>
      <c r="G624">
        <f t="shared" si="49"/>
        <v>0.158788504088442</v>
      </c>
      <c r="H624" s="1"/>
    </row>
    <row r="625" spans="1:8" x14ac:dyDescent="0.45">
      <c r="A625" s="1">
        <v>45153</v>
      </c>
      <c r="B625">
        <v>366.42</v>
      </c>
      <c r="C625">
        <f t="shared" si="45"/>
        <v>-1.0611583637100019E-2</v>
      </c>
      <c r="D625">
        <f t="shared" si="46"/>
        <v>1.1397909667786497</v>
      </c>
      <c r="E625">
        <f t="shared" si="47"/>
        <v>1.2566567127037467</v>
      </c>
      <c r="F625">
        <f t="shared" si="48"/>
        <v>-9.299735141958998E-2</v>
      </c>
      <c r="G625">
        <f t="shared" si="49"/>
        <v>0.15747448240002093</v>
      </c>
      <c r="H625" s="1"/>
    </row>
    <row r="626" spans="1:8" x14ac:dyDescent="0.45">
      <c r="A626" s="1">
        <v>45154</v>
      </c>
      <c r="B626">
        <v>362.54</v>
      </c>
      <c r="C626">
        <f t="shared" si="45"/>
        <v>-1.058894165165658E-2</v>
      </c>
      <c r="D626">
        <f t="shared" si="46"/>
        <v>1.1277217867363454</v>
      </c>
      <c r="E626">
        <f t="shared" si="47"/>
        <v>1.2566567127037467</v>
      </c>
      <c r="F626">
        <f t="shared" si="48"/>
        <v>-0.1026015495433058</v>
      </c>
      <c r="G626">
        <f t="shared" si="49"/>
        <v>0.15975471788108916</v>
      </c>
      <c r="H626" s="1"/>
    </row>
    <row r="627" spans="1:8" x14ac:dyDescent="0.45">
      <c r="A627" s="1">
        <v>45155</v>
      </c>
      <c r="B627">
        <v>358.58</v>
      </c>
      <c r="C627">
        <f t="shared" si="45"/>
        <v>-1.0922932641915462E-2</v>
      </c>
      <c r="D627">
        <f t="shared" si="46"/>
        <v>1.1154037576210036</v>
      </c>
      <c r="E627">
        <f t="shared" si="47"/>
        <v>1.2566567127037467</v>
      </c>
      <c r="F627">
        <f t="shared" si="48"/>
        <v>-0.11240377237060373</v>
      </c>
      <c r="G627">
        <f t="shared" si="49"/>
        <v>0.14469108812346282</v>
      </c>
      <c r="H627" s="1"/>
    </row>
    <row r="628" spans="1:8" x14ac:dyDescent="0.45">
      <c r="A628" s="1">
        <v>45156</v>
      </c>
      <c r="B628">
        <v>358.13</v>
      </c>
      <c r="C628">
        <f t="shared" si="45"/>
        <v>-1.2549500808745062E-3</v>
      </c>
      <c r="D628">
        <f t="shared" si="46"/>
        <v>1.1140039815851694</v>
      </c>
      <c r="E628">
        <f t="shared" si="47"/>
        <v>1.2566567127037467</v>
      </c>
      <c r="F628">
        <f t="shared" si="48"/>
        <v>-0.11351766132825103</v>
      </c>
      <c r="G628">
        <f t="shared" si="49"/>
        <v>0.14473258394047633</v>
      </c>
      <c r="H628" s="1"/>
    </row>
    <row r="629" spans="1:8" x14ac:dyDescent="0.45">
      <c r="A629" s="1">
        <v>45159</v>
      </c>
      <c r="B629">
        <v>363.9</v>
      </c>
      <c r="C629">
        <f t="shared" si="45"/>
        <v>1.6111467902716781E-2</v>
      </c>
      <c r="D629">
        <f t="shared" si="46"/>
        <v>1.1319522209779775</v>
      </c>
      <c r="E629">
        <f t="shared" si="47"/>
        <v>1.2566567127037467</v>
      </c>
      <c r="F629">
        <f t="shared" si="48"/>
        <v>-9.9235129582415982E-2</v>
      </c>
      <c r="G629">
        <f t="shared" si="49"/>
        <v>0.15848947994460494</v>
      </c>
      <c r="H629" s="1"/>
    </row>
    <row r="630" spans="1:8" x14ac:dyDescent="0.45">
      <c r="A630" s="1">
        <v>45160</v>
      </c>
      <c r="B630">
        <v>363.38</v>
      </c>
      <c r="C630">
        <f t="shared" si="45"/>
        <v>-1.4289640010991533E-3</v>
      </c>
      <c r="D630">
        <f t="shared" si="46"/>
        <v>1.1303347020032357</v>
      </c>
      <c r="E630">
        <f t="shared" si="47"/>
        <v>1.2566567127037467</v>
      </c>
      <c r="F630">
        <f t="shared" si="48"/>
        <v>-0.10052229015569747</v>
      </c>
      <c r="G630">
        <f t="shared" si="49"/>
        <v>0.15537039973863573</v>
      </c>
      <c r="H630" s="1"/>
    </row>
    <row r="631" spans="1:8" x14ac:dyDescent="0.45">
      <c r="A631" s="1">
        <v>45161</v>
      </c>
      <c r="B631">
        <v>369.11</v>
      </c>
      <c r="C631">
        <f t="shared" si="45"/>
        <v>1.5768616874896946E-2</v>
      </c>
      <c r="D631">
        <f t="shared" si="46"/>
        <v>1.1481585168595256</v>
      </c>
      <c r="E631">
        <f t="shared" si="47"/>
        <v>1.2566567127037467</v>
      </c>
      <c r="F631">
        <f t="shared" si="48"/>
        <v>-8.6338770761652861E-2</v>
      </c>
      <c r="G631">
        <f t="shared" si="49"/>
        <v>0.16755995728199538</v>
      </c>
      <c r="H631" s="1"/>
    </row>
    <row r="632" spans="1:8" x14ac:dyDescent="0.45">
      <c r="A632" s="1">
        <v>45162</v>
      </c>
      <c r="B632">
        <v>361.22</v>
      </c>
      <c r="C632">
        <f t="shared" si="45"/>
        <v>-2.1375741648830937E-2</v>
      </c>
      <c r="D632">
        <f t="shared" si="46"/>
        <v>1.1236157770312316</v>
      </c>
      <c r="E632">
        <f t="shared" si="47"/>
        <v>1.2566567127037467</v>
      </c>
      <c r="F632">
        <f t="shared" si="48"/>
        <v>-0.10586895715240496</v>
      </c>
      <c r="G632">
        <f t="shared" si="49"/>
        <v>0.18243211830411021</v>
      </c>
      <c r="H632" s="1"/>
    </row>
    <row r="633" spans="1:8" x14ac:dyDescent="0.45">
      <c r="A633" s="1">
        <v>45163</v>
      </c>
      <c r="B633">
        <v>364.02</v>
      </c>
      <c r="C633">
        <f t="shared" si="45"/>
        <v>7.7515087758150969E-3</v>
      </c>
      <c r="D633">
        <f t="shared" si="46"/>
        <v>1.1323254945875334</v>
      </c>
      <c r="E633">
        <f t="shared" si="47"/>
        <v>1.2566567127037467</v>
      </c>
      <c r="F633">
        <f t="shared" si="48"/>
        <v>-9.893809252704322E-2</v>
      </c>
      <c r="G633">
        <f t="shared" si="49"/>
        <v>0.17042328631489378</v>
      </c>
      <c r="H633" s="1"/>
    </row>
    <row r="634" spans="1:8" x14ac:dyDescent="0.45">
      <c r="A634" s="1">
        <v>45166</v>
      </c>
      <c r="B634">
        <v>366.76</v>
      </c>
      <c r="C634">
        <f t="shared" si="45"/>
        <v>7.5270589528049214E-3</v>
      </c>
      <c r="D634">
        <f t="shared" si="46"/>
        <v>1.1408485753390578</v>
      </c>
      <c r="E634">
        <f t="shared" si="47"/>
        <v>1.2566567127037467</v>
      </c>
      <c r="F634">
        <f t="shared" si="48"/>
        <v>-9.2155746429367413E-2</v>
      </c>
      <c r="G634">
        <f t="shared" si="49"/>
        <v>0.17387482017273639</v>
      </c>
      <c r="H634" s="1"/>
    </row>
    <row r="635" spans="1:8" x14ac:dyDescent="0.45">
      <c r="A635" s="1">
        <v>45167</v>
      </c>
      <c r="B635">
        <v>374.77</v>
      </c>
      <c r="C635">
        <f t="shared" si="45"/>
        <v>2.1839895299378353E-2</v>
      </c>
      <c r="D635">
        <f t="shared" si="46"/>
        <v>1.1657645887769077</v>
      </c>
      <c r="E635">
        <f t="shared" si="47"/>
        <v>1.2566567127037467</v>
      </c>
      <c r="F635">
        <f t="shared" si="48"/>
        <v>-7.2328522983242549E-2</v>
      </c>
      <c r="G635">
        <f t="shared" si="49"/>
        <v>0.19366785955731294</v>
      </c>
      <c r="H635" s="1"/>
    </row>
    <row r="636" spans="1:8" x14ac:dyDescent="0.45">
      <c r="A636" s="1">
        <v>45168</v>
      </c>
      <c r="B636">
        <v>376.86</v>
      </c>
      <c r="C636">
        <f t="shared" si="45"/>
        <v>5.5767537422952707E-3</v>
      </c>
      <c r="D636">
        <f t="shared" si="46"/>
        <v>1.1722657708100046</v>
      </c>
      <c r="E636">
        <f t="shared" si="47"/>
        <v>1.2566567127037467</v>
      </c>
      <c r="F636">
        <f t="shared" si="48"/>
        <v>-6.7155127602168796E-2</v>
      </c>
      <c r="G636">
        <f t="shared" si="49"/>
        <v>0.17818945606302708</v>
      </c>
      <c r="H636" s="1"/>
    </row>
    <row r="637" spans="1:8" x14ac:dyDescent="0.45">
      <c r="A637" s="1">
        <v>45169</v>
      </c>
      <c r="B637">
        <v>377.99</v>
      </c>
      <c r="C637">
        <f t="shared" si="45"/>
        <v>2.9984609669373441E-3</v>
      </c>
      <c r="D637">
        <f t="shared" si="46"/>
        <v>1.1757807639666551</v>
      </c>
      <c r="E637">
        <f t="shared" si="47"/>
        <v>1.2566567127037467</v>
      </c>
      <c r="F637">
        <f t="shared" si="48"/>
        <v>-6.435802866407625E-2</v>
      </c>
      <c r="G637">
        <f t="shared" si="49"/>
        <v>0.178255978364077</v>
      </c>
      <c r="H637" s="1"/>
    </row>
    <row r="638" spans="1:8" x14ac:dyDescent="0.45">
      <c r="A638" s="1">
        <v>45170</v>
      </c>
      <c r="B638">
        <v>377.59</v>
      </c>
      <c r="C638">
        <f t="shared" si="45"/>
        <v>-1.0582290536788053E-3</v>
      </c>
      <c r="D638">
        <f t="shared" si="46"/>
        <v>1.1745365186014689</v>
      </c>
      <c r="E638">
        <f t="shared" si="47"/>
        <v>1.2566567127037467</v>
      </c>
      <c r="F638">
        <f t="shared" si="48"/>
        <v>-6.5348152181985308E-2</v>
      </c>
      <c r="G638">
        <f t="shared" si="49"/>
        <v>0.17728834554754899</v>
      </c>
      <c r="H638" s="1"/>
    </row>
    <row r="639" spans="1:8" x14ac:dyDescent="0.45">
      <c r="A639" s="1">
        <v>45174</v>
      </c>
      <c r="B639">
        <v>378.07</v>
      </c>
      <c r="C639">
        <f t="shared" si="45"/>
        <v>1.2712201064646322E-3</v>
      </c>
      <c r="D639">
        <f t="shared" si="46"/>
        <v>1.1760296130396921</v>
      </c>
      <c r="E639">
        <f t="shared" si="47"/>
        <v>1.2566567127037467</v>
      </c>
      <c r="F639">
        <f t="shared" si="48"/>
        <v>-6.4160003960494594E-2</v>
      </c>
      <c r="G639">
        <f t="shared" si="49"/>
        <v>0.1749860728153653</v>
      </c>
      <c r="H639" s="1"/>
    </row>
    <row r="640" spans="1:8" x14ac:dyDescent="0.45">
      <c r="A640" s="1">
        <v>45175</v>
      </c>
      <c r="B640">
        <v>374.74</v>
      </c>
      <c r="C640">
        <f t="shared" si="45"/>
        <v>-8.8078927182796418E-3</v>
      </c>
      <c r="D640">
        <f t="shared" si="46"/>
        <v>1.1656712703745187</v>
      </c>
      <c r="E640">
        <f t="shared" si="47"/>
        <v>1.2566567127037467</v>
      </c>
      <c r="F640">
        <f t="shared" si="48"/>
        <v>-7.240278224708574E-2</v>
      </c>
      <c r="G640">
        <f t="shared" si="49"/>
        <v>0.17519639699973225</v>
      </c>
      <c r="H640" s="1"/>
    </row>
    <row r="641" spans="1:8" x14ac:dyDescent="0.45">
      <c r="A641" s="1">
        <v>45176</v>
      </c>
      <c r="B641">
        <v>372.06</v>
      </c>
      <c r="C641">
        <f t="shared" si="45"/>
        <v>-7.1516251267546016E-3</v>
      </c>
      <c r="D641">
        <f t="shared" si="46"/>
        <v>1.1573348264277723</v>
      </c>
      <c r="E641">
        <f t="shared" si="47"/>
        <v>1.2566567127037467</v>
      </c>
      <c r="F641">
        <f t="shared" si="48"/>
        <v>-7.9036609817075165E-2</v>
      </c>
      <c r="G641">
        <f t="shared" si="49"/>
        <v>0.17238259783180337</v>
      </c>
      <c r="H641" s="1"/>
    </row>
    <row r="642" spans="1:8" x14ac:dyDescent="0.45">
      <c r="A642" s="1">
        <v>45177</v>
      </c>
      <c r="B642">
        <v>372.58</v>
      </c>
      <c r="C642">
        <f t="shared" si="45"/>
        <v>1.3976240391333494E-3</v>
      </c>
      <c r="D642">
        <f t="shared" si="46"/>
        <v>1.1589523454025139</v>
      </c>
      <c r="E642">
        <f t="shared" si="47"/>
        <v>1.2566567127037467</v>
      </c>
      <c r="F642">
        <f t="shared" si="48"/>
        <v>-7.7749449243793789E-2</v>
      </c>
      <c r="G642">
        <f t="shared" si="49"/>
        <v>0.1723473219002665</v>
      </c>
      <c r="H642" s="1"/>
    </row>
    <row r="643" spans="1:8" x14ac:dyDescent="0.45">
      <c r="A643" s="1">
        <v>45180</v>
      </c>
      <c r="B643">
        <v>376.97</v>
      </c>
      <c r="C643">
        <f t="shared" si="45"/>
        <v>1.1782704385635334E-2</v>
      </c>
      <c r="D643">
        <f t="shared" si="46"/>
        <v>1.1726079382854304</v>
      </c>
      <c r="E643">
        <f t="shared" si="47"/>
        <v>1.2566567127037467</v>
      </c>
      <c r="F643">
        <f t="shared" si="48"/>
        <v>-6.6882843634744171E-2</v>
      </c>
      <c r="G643">
        <f t="shared" si="49"/>
        <v>0.17464491353837974</v>
      </c>
      <c r="H643" s="1"/>
    </row>
    <row r="644" spans="1:8" x14ac:dyDescent="0.45">
      <c r="A644" s="1">
        <v>45181</v>
      </c>
      <c r="B644">
        <v>372.79</v>
      </c>
      <c r="C644">
        <f t="shared" ref="C644:C707" si="50">IFERROR((B644/B643)-1,"")</f>
        <v>-1.1088415523781703E-2</v>
      </c>
      <c r="D644">
        <f t="shared" ref="D644:D707" si="51">D643*(1+C644)</f>
        <v>1.1596055742192366</v>
      </c>
      <c r="E644">
        <f t="shared" ref="E644:E707" si="52">MAX(E643,D644)</f>
        <v>1.2566567127037467</v>
      </c>
      <c r="F644">
        <f t="shared" ref="F644:F707" si="53">D644/E644-1</f>
        <v>-7.7229634396891678E-2</v>
      </c>
      <c r="G644">
        <f t="shared" si="49"/>
        <v>0.17612575919270129</v>
      </c>
      <c r="H644" s="1"/>
    </row>
    <row r="645" spans="1:8" x14ac:dyDescent="0.45">
      <c r="A645" s="1">
        <v>45182</v>
      </c>
      <c r="B645">
        <v>374.21</v>
      </c>
      <c r="C645">
        <f t="shared" si="50"/>
        <v>3.8091150513692718E-3</v>
      </c>
      <c r="D645">
        <f t="shared" si="51"/>
        <v>1.1640226452656468</v>
      </c>
      <c r="E645">
        <f t="shared" si="52"/>
        <v>1.2566567127037467</v>
      </c>
      <c r="F645">
        <f t="shared" si="53"/>
        <v>-7.3714695908315364E-2</v>
      </c>
      <c r="G645">
        <f t="shared" si="49"/>
        <v>0.17156149085526146</v>
      </c>
      <c r="H645" s="1"/>
    </row>
    <row r="646" spans="1:8" x14ac:dyDescent="0.45">
      <c r="A646" s="1">
        <v>45183</v>
      </c>
      <c r="B646">
        <v>377.27</v>
      </c>
      <c r="C646">
        <f t="shared" si="50"/>
        <v>8.1772266908954894E-3</v>
      </c>
      <c r="D646">
        <f t="shared" si="51"/>
        <v>1.1735411223093197</v>
      </c>
      <c r="E646">
        <f t="shared" si="52"/>
        <v>1.2566567127037467</v>
      </c>
      <c r="F646">
        <f t="shared" si="53"/>
        <v>-6.61402509963126E-2</v>
      </c>
      <c r="G646">
        <f t="shared" si="49"/>
        <v>0.16747552274187869</v>
      </c>
      <c r="H646" s="1"/>
    </row>
    <row r="647" spans="1:8" x14ac:dyDescent="0.45">
      <c r="A647" s="1">
        <v>45184</v>
      </c>
      <c r="B647">
        <v>370.81</v>
      </c>
      <c r="C647">
        <f t="shared" si="50"/>
        <v>-1.7123015347098813E-2</v>
      </c>
      <c r="D647">
        <f t="shared" si="51"/>
        <v>1.1534465596615657</v>
      </c>
      <c r="E647">
        <f t="shared" si="52"/>
        <v>1.2566567127037467</v>
      </c>
      <c r="F647">
        <f t="shared" si="53"/>
        <v>-8.2130745810540584E-2</v>
      </c>
      <c r="G647">
        <f t="shared" si="49"/>
        <v>0.17511530936032155</v>
      </c>
      <c r="H647" s="1"/>
    </row>
    <row r="648" spans="1:8" x14ac:dyDescent="0.45">
      <c r="A648" s="1">
        <v>45187</v>
      </c>
      <c r="B648">
        <v>370.66</v>
      </c>
      <c r="C648">
        <f t="shared" si="50"/>
        <v>-4.0451983495581878E-4</v>
      </c>
      <c r="D648">
        <f t="shared" si="51"/>
        <v>1.1529799676496211</v>
      </c>
      <c r="E648">
        <f t="shared" si="52"/>
        <v>1.2566567127037467</v>
      </c>
      <c r="F648">
        <f t="shared" si="53"/>
        <v>-8.2502042129756314E-2</v>
      </c>
      <c r="G648">
        <f t="shared" si="49"/>
        <v>0.17494858936825297</v>
      </c>
      <c r="H648" s="1"/>
    </row>
    <row r="649" spans="1:8" x14ac:dyDescent="0.45">
      <c r="A649" s="1">
        <v>45188</v>
      </c>
      <c r="B649">
        <v>369.87</v>
      </c>
      <c r="C649">
        <f t="shared" si="50"/>
        <v>-2.1313332973614818E-3</v>
      </c>
      <c r="D649">
        <f t="shared" si="51"/>
        <v>1.1505225830533787</v>
      </c>
      <c r="E649">
        <f t="shared" si="52"/>
        <v>1.2566567127037467</v>
      </c>
      <c r="F649">
        <f t="shared" si="53"/>
        <v>-8.4457536077626294E-2</v>
      </c>
      <c r="G649">
        <f t="shared" si="49"/>
        <v>0.16692644117385042</v>
      </c>
      <c r="H649" s="1"/>
    </row>
    <row r="650" spans="1:8" x14ac:dyDescent="0.45">
      <c r="A650" s="1">
        <v>45189</v>
      </c>
      <c r="B650">
        <v>364.54</v>
      </c>
      <c r="C650">
        <f t="shared" si="50"/>
        <v>-1.4410468543001542E-2</v>
      </c>
      <c r="D650">
        <f t="shared" si="51"/>
        <v>1.1339430135622752</v>
      </c>
      <c r="E650">
        <f t="shared" si="52"/>
        <v>1.2566567127037467</v>
      </c>
      <c r="F650">
        <f t="shared" si="53"/>
        <v>-9.7650931953761733E-2</v>
      </c>
      <c r="G650">
        <f t="shared" si="49"/>
        <v>0.175437271202115</v>
      </c>
      <c r="H650" s="1"/>
    </row>
    <row r="651" spans="1:8" x14ac:dyDescent="0.45">
      <c r="A651" s="1">
        <v>45190</v>
      </c>
      <c r="B651">
        <v>357.86</v>
      </c>
      <c r="C651">
        <f t="shared" si="50"/>
        <v>-1.8324463707686367E-2</v>
      </c>
      <c r="D651">
        <f t="shared" si="51"/>
        <v>1.1131641159636687</v>
      </c>
      <c r="E651">
        <f t="shared" si="52"/>
        <v>1.2566567127037467</v>
      </c>
      <c r="F651">
        <f t="shared" si="53"/>
        <v>-0.11418599470283974</v>
      </c>
      <c r="G651">
        <f t="shared" si="49"/>
        <v>0.17708693200445177</v>
      </c>
      <c r="H651" s="1"/>
    </row>
    <row r="652" spans="1:8" x14ac:dyDescent="0.45">
      <c r="A652" s="1">
        <v>45191</v>
      </c>
      <c r="B652">
        <v>357.91</v>
      </c>
      <c r="C652">
        <f t="shared" si="50"/>
        <v>1.3971944335766651E-4</v>
      </c>
      <c r="D652">
        <f t="shared" si="51"/>
        <v>1.1133196466343169</v>
      </c>
      <c r="E652">
        <f t="shared" si="52"/>
        <v>1.2566567127037467</v>
      </c>
      <c r="F652">
        <f t="shared" si="53"/>
        <v>-0.11406222926310117</v>
      </c>
      <c r="G652">
        <f t="shared" si="49"/>
        <v>0.16075325528805162</v>
      </c>
      <c r="H652" s="1"/>
    </row>
    <row r="653" spans="1:8" x14ac:dyDescent="0.45">
      <c r="A653" s="1">
        <v>45194</v>
      </c>
      <c r="B653">
        <v>359.61</v>
      </c>
      <c r="C653">
        <f t="shared" si="50"/>
        <v>4.749797435109393E-3</v>
      </c>
      <c r="D653">
        <f t="shared" si="51"/>
        <v>1.1186076894363575</v>
      </c>
      <c r="E653">
        <f t="shared" si="52"/>
        <v>1.2566567127037467</v>
      </c>
      <c r="F653">
        <f t="shared" si="53"/>
        <v>-0.10985420431198845</v>
      </c>
      <c r="G653">
        <f t="shared" si="49"/>
        <v>0.15907598675529372</v>
      </c>
      <c r="H653" s="1"/>
    </row>
    <row r="654" spans="1:8" x14ac:dyDescent="0.45">
      <c r="A654" s="1">
        <v>45195</v>
      </c>
      <c r="B654">
        <v>354.21</v>
      </c>
      <c r="C654">
        <f t="shared" si="50"/>
        <v>-1.5016267623258583E-2</v>
      </c>
      <c r="D654">
        <f t="shared" si="51"/>
        <v>1.1018103770063461</v>
      </c>
      <c r="E654">
        <f t="shared" si="52"/>
        <v>1.2566567127037467</v>
      </c>
      <c r="F654">
        <f t="shared" si="53"/>
        <v>-0.12322087180375818</v>
      </c>
      <c r="G654">
        <f t="shared" si="49"/>
        <v>0.16392562069839706</v>
      </c>
      <c r="H654" s="1"/>
    </row>
    <row r="655" spans="1:8" x14ac:dyDescent="0.45">
      <c r="A655" s="1">
        <v>45196</v>
      </c>
      <c r="B655">
        <v>355.04</v>
      </c>
      <c r="C655">
        <f t="shared" si="50"/>
        <v>2.3432427091274466E-3</v>
      </c>
      <c r="D655">
        <f t="shared" si="51"/>
        <v>1.1043921861391073</v>
      </c>
      <c r="E655">
        <f t="shared" si="52"/>
        <v>1.2566567127037467</v>
      </c>
      <c r="F655">
        <f t="shared" si="53"/>
        <v>-0.12116636550409721</v>
      </c>
      <c r="G655">
        <f t="shared" si="49"/>
        <v>0.13961638676810365</v>
      </c>
      <c r="H655" s="1"/>
    </row>
    <row r="656" spans="1:8" x14ac:dyDescent="0.45">
      <c r="A656" s="1">
        <v>45197</v>
      </c>
      <c r="B656">
        <v>358.01</v>
      </c>
      <c r="C656">
        <f t="shared" si="50"/>
        <v>8.3652546191976818E-3</v>
      </c>
      <c r="D656">
        <f t="shared" si="51"/>
        <v>1.1136307079756134</v>
      </c>
      <c r="E656">
        <f t="shared" si="52"/>
        <v>1.2566567127037467</v>
      </c>
      <c r="F656">
        <f t="shared" si="53"/>
        <v>-0.11381469838362401</v>
      </c>
      <c r="G656">
        <f t="shared" si="49"/>
        <v>0.14212751873368751</v>
      </c>
      <c r="H656" s="1"/>
    </row>
    <row r="657" spans="1:8" x14ac:dyDescent="0.45">
      <c r="A657" s="1">
        <v>45198</v>
      </c>
      <c r="B657">
        <v>358.27</v>
      </c>
      <c r="C657">
        <f t="shared" si="50"/>
        <v>7.2623669729887652E-4</v>
      </c>
      <c r="D657">
        <f t="shared" si="51"/>
        <v>1.1144394674629843</v>
      </c>
      <c r="E657">
        <f t="shared" si="52"/>
        <v>1.2566567127037467</v>
      </c>
      <c r="F657">
        <f t="shared" si="53"/>
        <v>-0.11317111809698321</v>
      </c>
      <c r="G657">
        <f t="shared" si="49"/>
        <v>0.14118222420341117</v>
      </c>
      <c r="H657" s="1"/>
    </row>
    <row r="658" spans="1:8" x14ac:dyDescent="0.45">
      <c r="A658" s="1">
        <v>45201</v>
      </c>
      <c r="B658">
        <v>361.26</v>
      </c>
      <c r="C658">
        <f t="shared" si="50"/>
        <v>8.3456610935885855E-3</v>
      </c>
      <c r="D658">
        <f t="shared" si="51"/>
        <v>1.1237402015677498</v>
      </c>
      <c r="E658">
        <f t="shared" si="52"/>
        <v>1.2566567127037467</v>
      </c>
      <c r="F658">
        <f t="shared" si="53"/>
        <v>-0.10576994480061441</v>
      </c>
      <c r="G658">
        <f t="shared" si="49"/>
        <v>0.14642636084013716</v>
      </c>
      <c r="H658" s="1"/>
    </row>
    <row r="659" spans="1:8" x14ac:dyDescent="0.45">
      <c r="A659" s="1">
        <v>45202</v>
      </c>
      <c r="B659">
        <v>354.92</v>
      </c>
      <c r="C659">
        <f t="shared" si="50"/>
        <v>-1.7549687205890452E-2</v>
      </c>
      <c r="D659">
        <f t="shared" si="51"/>
        <v>1.1040189125295514</v>
      </c>
      <c r="E659">
        <f t="shared" si="52"/>
        <v>1.2566567127037467</v>
      </c>
      <c r="F659">
        <f t="shared" si="53"/>
        <v>-0.12146340255946986</v>
      </c>
      <c r="G659">
        <f t="shared" si="49"/>
        <v>0.15552218495781997</v>
      </c>
      <c r="H659" s="1"/>
    </row>
    <row r="660" spans="1:8" x14ac:dyDescent="0.45">
      <c r="A660" s="1">
        <v>45203</v>
      </c>
      <c r="B660">
        <v>359.75</v>
      </c>
      <c r="C660">
        <f t="shared" si="50"/>
        <v>1.3608700552237174E-2</v>
      </c>
      <c r="D660">
        <f t="shared" si="51"/>
        <v>1.1190431753141725</v>
      </c>
      <c r="E660">
        <f t="shared" si="52"/>
        <v>1.2566567127037467</v>
      </c>
      <c r="F660">
        <f t="shared" si="53"/>
        <v>-0.10950766108072041</v>
      </c>
      <c r="G660">
        <f t="shared" si="49"/>
        <v>0.1647109624874899</v>
      </c>
      <c r="H660" s="1"/>
    </row>
    <row r="661" spans="1:8" x14ac:dyDescent="0.45">
      <c r="A661" s="1">
        <v>45204</v>
      </c>
      <c r="B661">
        <v>358.69</v>
      </c>
      <c r="C661">
        <f t="shared" si="50"/>
        <v>-2.9464906184850648E-3</v>
      </c>
      <c r="D661">
        <f t="shared" si="51"/>
        <v>1.1157459250964297</v>
      </c>
      <c r="E661">
        <f t="shared" si="52"/>
        <v>1.2566567127037467</v>
      </c>
      <c r="F661">
        <f t="shared" si="53"/>
        <v>-0.11213148840317888</v>
      </c>
      <c r="G661">
        <f t="shared" si="49"/>
        <v>0.1636352433166772</v>
      </c>
      <c r="H661" s="1"/>
    </row>
    <row r="662" spans="1:8" x14ac:dyDescent="0.45">
      <c r="A662" s="1">
        <v>45205</v>
      </c>
      <c r="B662">
        <v>364.7</v>
      </c>
      <c r="C662">
        <f t="shared" si="50"/>
        <v>1.6755415539881247E-2</v>
      </c>
      <c r="D662">
        <f t="shared" si="51"/>
        <v>1.1344407117083495</v>
      </c>
      <c r="E662">
        <f t="shared" si="52"/>
        <v>1.2566567127037467</v>
      </c>
      <c r="F662">
        <f t="shared" si="53"/>
        <v>-9.7254882546598309E-2</v>
      </c>
      <c r="G662">
        <f t="shared" ref="G662:G725" si="54">_xlfn.STDEV.S(C643:C662)*SQRT(252)</f>
        <v>0.1761869412781582</v>
      </c>
      <c r="H662" s="1"/>
    </row>
    <row r="663" spans="1:8" x14ac:dyDescent="0.45">
      <c r="A663" s="1">
        <v>45208</v>
      </c>
      <c r="B663">
        <v>366.56</v>
      </c>
      <c r="C663">
        <f t="shared" si="50"/>
        <v>5.100082259391403E-3</v>
      </c>
      <c r="D663">
        <f t="shared" si="51"/>
        <v>1.1402264526564645</v>
      </c>
      <c r="E663">
        <f t="shared" si="52"/>
        <v>1.2566567127037467</v>
      </c>
      <c r="F663">
        <f t="shared" si="53"/>
        <v>-9.2650808188322054E-2</v>
      </c>
      <c r="G663">
        <f t="shared" si="54"/>
        <v>0.17128016058515336</v>
      </c>
      <c r="H663" s="1"/>
    </row>
    <row r="664" spans="1:8" x14ac:dyDescent="0.45">
      <c r="A664" s="1">
        <v>45209</v>
      </c>
      <c r="B664">
        <v>368.59</v>
      </c>
      <c r="C664">
        <f t="shared" si="50"/>
        <v>5.5379746835442223E-3</v>
      </c>
      <c r="D664">
        <f t="shared" si="51"/>
        <v>1.1465409978847834</v>
      </c>
      <c r="E664">
        <f t="shared" si="52"/>
        <v>1.2566567127037467</v>
      </c>
      <c r="F664">
        <f t="shared" si="53"/>
        <v>-8.7625931334934792E-2</v>
      </c>
      <c r="G664">
        <f t="shared" si="54"/>
        <v>0.16888523753261508</v>
      </c>
      <c r="H664" s="1"/>
    </row>
    <row r="665" spans="1:8" x14ac:dyDescent="0.45">
      <c r="A665" s="1">
        <v>45210</v>
      </c>
      <c r="B665">
        <v>371.22</v>
      </c>
      <c r="C665">
        <f t="shared" si="50"/>
        <v>7.1352993841395929E-3</v>
      </c>
      <c r="D665">
        <f t="shared" si="51"/>
        <v>1.1547219111608815</v>
      </c>
      <c r="E665">
        <f t="shared" si="52"/>
        <v>1.2566567127037467</v>
      </c>
      <c r="F665">
        <f t="shared" si="53"/>
        <v>-8.1115869204683944E-2</v>
      </c>
      <c r="G665">
        <f t="shared" si="54"/>
        <v>0.17041982331826733</v>
      </c>
      <c r="H665" s="1"/>
    </row>
    <row r="666" spans="1:8" x14ac:dyDescent="0.45">
      <c r="A666" s="1">
        <v>45211</v>
      </c>
      <c r="B666">
        <v>369.93</v>
      </c>
      <c r="C666">
        <f t="shared" si="50"/>
        <v>-3.4750282851140346E-3</v>
      </c>
      <c r="D666">
        <f t="shared" si="51"/>
        <v>1.1507092198581566</v>
      </c>
      <c r="E666">
        <f t="shared" si="52"/>
        <v>1.2566567127037467</v>
      </c>
      <c r="F666">
        <f t="shared" si="53"/>
        <v>-8.4309017549940024E-2</v>
      </c>
      <c r="G666">
        <f t="shared" si="54"/>
        <v>0.16768780653750107</v>
      </c>
      <c r="H666" s="1"/>
    </row>
    <row r="667" spans="1:8" x14ac:dyDescent="0.45">
      <c r="A667" s="1">
        <v>45212</v>
      </c>
      <c r="B667">
        <v>365.28</v>
      </c>
      <c r="C667">
        <f t="shared" si="50"/>
        <v>-1.2569945665396265E-2</v>
      </c>
      <c r="D667">
        <f t="shared" si="51"/>
        <v>1.1362448674878689</v>
      </c>
      <c r="E667">
        <f t="shared" si="52"/>
        <v>1.2566567127037467</v>
      </c>
      <c r="F667">
        <f t="shared" si="53"/>
        <v>-9.5819203445630663E-2</v>
      </c>
      <c r="G667">
        <f t="shared" si="54"/>
        <v>0.16255619365782908</v>
      </c>
      <c r="H667" s="1"/>
    </row>
    <row r="668" spans="1:8" x14ac:dyDescent="0.45">
      <c r="A668" s="1">
        <v>45215</v>
      </c>
      <c r="B668">
        <v>369.41</v>
      </c>
      <c r="C668">
        <f t="shared" si="50"/>
        <v>1.1306395094174526E-2</v>
      </c>
      <c r="D668">
        <f t="shared" si="51"/>
        <v>1.1490917008834147</v>
      </c>
      <c r="E668">
        <f t="shared" si="52"/>
        <v>1.2566567127037467</v>
      </c>
      <c r="F668">
        <f t="shared" si="53"/>
        <v>-8.5596178123221511E-2</v>
      </c>
      <c r="G668">
        <f t="shared" si="54"/>
        <v>0.16806148665932394</v>
      </c>
      <c r="H668" s="1"/>
    </row>
    <row r="669" spans="1:8" x14ac:dyDescent="0.45">
      <c r="A669" s="1">
        <v>45216</v>
      </c>
      <c r="B669">
        <v>368.2</v>
      </c>
      <c r="C669">
        <f t="shared" si="50"/>
        <v>-3.275493354267689E-3</v>
      </c>
      <c r="D669">
        <f t="shared" si="51"/>
        <v>1.145327858653727</v>
      </c>
      <c r="E669">
        <f t="shared" si="52"/>
        <v>1.2566567127037467</v>
      </c>
      <c r="F669">
        <f t="shared" si="53"/>
        <v>-8.8591301764895825E-2</v>
      </c>
      <c r="G669">
        <f t="shared" si="54"/>
        <v>0.16829242222368723</v>
      </c>
      <c r="H669" s="1"/>
    </row>
    <row r="670" spans="1:8" x14ac:dyDescent="0.45">
      <c r="A670" s="1">
        <v>45217</v>
      </c>
      <c r="B670">
        <v>363.37</v>
      </c>
      <c r="C670">
        <f t="shared" si="50"/>
        <v>-1.3117870722433422E-2</v>
      </c>
      <c r="D670">
        <f t="shared" si="51"/>
        <v>1.1303035958691059</v>
      </c>
      <c r="E670">
        <f t="shared" si="52"/>
        <v>1.2566567127037467</v>
      </c>
      <c r="F670">
        <f t="shared" si="53"/>
        <v>-0.10054704324364527</v>
      </c>
      <c r="G670">
        <f t="shared" si="54"/>
        <v>0.16689879897550153</v>
      </c>
      <c r="H670" s="1"/>
    </row>
    <row r="671" spans="1:8" x14ac:dyDescent="0.45">
      <c r="A671" s="1">
        <v>45218</v>
      </c>
      <c r="B671">
        <v>359.97</v>
      </c>
      <c r="C671">
        <f t="shared" si="50"/>
        <v>-9.3568538954783564E-3</v>
      </c>
      <c r="D671">
        <f t="shared" si="51"/>
        <v>1.1197275102650248</v>
      </c>
      <c r="E671">
        <f t="shared" si="52"/>
        <v>1.2566567127037467</v>
      </c>
      <c r="F671">
        <f t="shared" si="53"/>
        <v>-0.1089630931458706</v>
      </c>
      <c r="G671">
        <f t="shared" si="54"/>
        <v>0.15663717345034145</v>
      </c>
      <c r="H671" s="1"/>
    </row>
    <row r="672" spans="1:8" x14ac:dyDescent="0.45">
      <c r="A672" s="1">
        <v>45219</v>
      </c>
      <c r="B672">
        <v>354.6</v>
      </c>
      <c r="C672">
        <f t="shared" si="50"/>
        <v>-1.4917909825818865E-2</v>
      </c>
      <c r="D672">
        <f t="shared" si="51"/>
        <v>1.1030235162374025</v>
      </c>
      <c r="E672">
        <f t="shared" si="52"/>
        <v>1.2566567127037467</v>
      </c>
      <c r="F672">
        <f t="shared" si="53"/>
        <v>-0.12225550137379704</v>
      </c>
      <c r="G672">
        <f t="shared" si="54"/>
        <v>0.16574724501173849</v>
      </c>
      <c r="H672" s="1"/>
    </row>
    <row r="673" spans="1:8" x14ac:dyDescent="0.45">
      <c r="A673" s="1">
        <v>45222</v>
      </c>
      <c r="B673">
        <v>355.67</v>
      </c>
      <c r="C673">
        <f t="shared" si="50"/>
        <v>3.017484489565625E-3</v>
      </c>
      <c r="D673">
        <f t="shared" si="51"/>
        <v>1.1063518725892749</v>
      </c>
      <c r="E673">
        <f t="shared" si="52"/>
        <v>1.2566567127037467</v>
      </c>
      <c r="F673">
        <f t="shared" si="53"/>
        <v>-0.11960692096339098</v>
      </c>
      <c r="G673">
        <f t="shared" si="54"/>
        <v>0.16514460324589603</v>
      </c>
      <c r="H673" s="1"/>
    </row>
    <row r="674" spans="1:8" x14ac:dyDescent="0.45">
      <c r="A674" s="1">
        <v>45223</v>
      </c>
      <c r="B674">
        <v>359.13</v>
      </c>
      <c r="C674">
        <f t="shared" si="50"/>
        <v>9.7281187617734854E-3</v>
      </c>
      <c r="D674">
        <f t="shared" si="51"/>
        <v>1.1171145949981338</v>
      </c>
      <c r="E674">
        <f t="shared" si="52"/>
        <v>1.2566567127037467</v>
      </c>
      <c r="F674">
        <f t="shared" si="53"/>
        <v>-0.11104235253347949</v>
      </c>
      <c r="G674">
        <f t="shared" si="54"/>
        <v>0.15955828056745183</v>
      </c>
      <c r="H674" s="1"/>
    </row>
    <row r="675" spans="1:8" x14ac:dyDescent="0.45">
      <c r="A675" s="1">
        <v>45224</v>
      </c>
      <c r="B675">
        <v>350.34</v>
      </c>
      <c r="C675">
        <f t="shared" si="50"/>
        <v>-2.4475816556678742E-2</v>
      </c>
      <c r="D675">
        <f t="shared" si="51"/>
        <v>1.089772303098171</v>
      </c>
      <c r="E675">
        <f t="shared" si="52"/>
        <v>1.2566567127037467</v>
      </c>
      <c r="F675">
        <f t="shared" si="53"/>
        <v>-0.13280031683952676</v>
      </c>
      <c r="G675">
        <f t="shared" si="54"/>
        <v>0.18270079129363628</v>
      </c>
      <c r="H675" s="1"/>
    </row>
    <row r="676" spans="1:8" x14ac:dyDescent="0.45">
      <c r="A676" s="1">
        <v>45225</v>
      </c>
      <c r="B676">
        <v>343.66</v>
      </c>
      <c r="C676">
        <f t="shared" si="50"/>
        <v>-1.9067191870754008E-2</v>
      </c>
      <c r="D676">
        <f t="shared" si="51"/>
        <v>1.0689934054995647</v>
      </c>
      <c r="E676">
        <f t="shared" si="52"/>
        <v>1.2566567127037467</v>
      </c>
      <c r="F676">
        <f t="shared" si="53"/>
        <v>-0.14933537958860454</v>
      </c>
      <c r="G676">
        <f t="shared" si="54"/>
        <v>0.19061897204755979</v>
      </c>
      <c r="H676" s="1"/>
    </row>
    <row r="677" spans="1:8" x14ac:dyDescent="0.45">
      <c r="A677" s="1">
        <v>45226</v>
      </c>
      <c r="B677">
        <v>345.31</v>
      </c>
      <c r="C677">
        <f t="shared" si="50"/>
        <v>4.8012570563928936E-3</v>
      </c>
      <c r="D677">
        <f t="shared" si="51"/>
        <v>1.074125917630957</v>
      </c>
      <c r="E677">
        <f t="shared" si="52"/>
        <v>1.2566567127037467</v>
      </c>
      <c r="F677">
        <f t="shared" si="53"/>
        <v>-0.14525112007723051</v>
      </c>
      <c r="G677">
        <f t="shared" si="54"/>
        <v>0.19192906846187338</v>
      </c>
      <c r="H677" s="1"/>
    </row>
    <row r="678" spans="1:8" x14ac:dyDescent="0.45">
      <c r="A678" s="1">
        <v>45229</v>
      </c>
      <c r="B678">
        <v>349.2</v>
      </c>
      <c r="C678">
        <f t="shared" si="50"/>
        <v>1.1265239929338922E-2</v>
      </c>
      <c r="D678">
        <f t="shared" si="51"/>
        <v>1.0862262038073911</v>
      </c>
      <c r="E678">
        <f t="shared" si="52"/>
        <v>1.2566567127037467</v>
      </c>
      <c r="F678">
        <f t="shared" si="53"/>
        <v>-0.13562216886556677</v>
      </c>
      <c r="G678">
        <f t="shared" si="54"/>
        <v>0.19423605404325342</v>
      </c>
      <c r="H678" s="1"/>
    </row>
    <row r="679" spans="1:8" x14ac:dyDescent="0.45">
      <c r="A679" s="1">
        <v>45230</v>
      </c>
      <c r="B679">
        <v>350.87</v>
      </c>
      <c r="C679">
        <f t="shared" si="50"/>
        <v>4.7823596792668788E-3</v>
      </c>
      <c r="D679">
        <f t="shared" si="51"/>
        <v>1.0914209282070426</v>
      </c>
      <c r="E679">
        <f t="shared" si="52"/>
        <v>1.2566567127037467</v>
      </c>
      <c r="F679">
        <f t="shared" si="53"/>
        <v>-0.13148840317829735</v>
      </c>
      <c r="G679">
        <f t="shared" si="54"/>
        <v>0.18595116341296977</v>
      </c>
      <c r="H679" s="1"/>
    </row>
    <row r="680" spans="1:8" x14ac:dyDescent="0.45">
      <c r="A680" s="1">
        <v>45231</v>
      </c>
      <c r="B680">
        <v>356.96</v>
      </c>
      <c r="C680">
        <f t="shared" si="50"/>
        <v>1.7356855815544137E-2</v>
      </c>
      <c r="D680">
        <f t="shared" si="51"/>
        <v>1.1103645638919997</v>
      </c>
      <c r="E680">
        <f t="shared" si="52"/>
        <v>1.2566567127037467</v>
      </c>
      <c r="F680">
        <f t="shared" si="53"/>
        <v>-0.11641377261813501</v>
      </c>
      <c r="G680">
        <f t="shared" si="54"/>
        <v>0.19015367222078838</v>
      </c>
      <c r="H680" s="1"/>
    </row>
    <row r="681" spans="1:8" x14ac:dyDescent="0.45">
      <c r="A681" s="1">
        <v>45232</v>
      </c>
      <c r="B681">
        <v>363.44</v>
      </c>
      <c r="C681">
        <f t="shared" si="50"/>
        <v>1.8153294486777272E-2</v>
      </c>
      <c r="D681">
        <f t="shared" si="51"/>
        <v>1.1305213388080131</v>
      </c>
      <c r="E681">
        <f t="shared" si="52"/>
        <v>1.2566567127037467</v>
      </c>
      <c r="F681">
        <f t="shared" si="53"/>
        <v>-0.10037377162801153</v>
      </c>
      <c r="G681">
        <f t="shared" si="54"/>
        <v>0.20074450480567263</v>
      </c>
      <c r="H681" s="1"/>
    </row>
    <row r="682" spans="1:8" x14ac:dyDescent="0.45">
      <c r="A682" s="1">
        <v>45233</v>
      </c>
      <c r="B682">
        <v>367.71</v>
      </c>
      <c r="C682">
        <f t="shared" si="50"/>
        <v>1.1748844375963019E-2</v>
      </c>
      <c r="D682">
        <f t="shared" si="51"/>
        <v>1.1438036580813737</v>
      </c>
      <c r="E682">
        <f t="shared" si="52"/>
        <v>1.2566567127037467</v>
      </c>
      <c r="F682">
        <f t="shared" si="53"/>
        <v>-8.9804203074334565E-2</v>
      </c>
      <c r="G682">
        <f t="shared" si="54"/>
        <v>0.19617968997104165</v>
      </c>
      <c r="H682" s="1"/>
    </row>
    <row r="683" spans="1:8" x14ac:dyDescent="0.45">
      <c r="A683" s="1">
        <v>45236</v>
      </c>
      <c r="B683">
        <v>369.21</v>
      </c>
      <c r="C683">
        <f t="shared" si="50"/>
        <v>4.0793016235620705E-3</v>
      </c>
      <c r="D683">
        <f t="shared" si="51"/>
        <v>1.1484695782008214</v>
      </c>
      <c r="E683">
        <f t="shared" si="52"/>
        <v>1.2566567127037467</v>
      </c>
      <c r="F683">
        <f t="shared" si="53"/>
        <v>-8.6091239882176263E-2</v>
      </c>
      <c r="G683">
        <f t="shared" si="54"/>
        <v>0.19589436883824476</v>
      </c>
      <c r="H683" s="1"/>
    </row>
    <row r="684" spans="1:8" x14ac:dyDescent="0.45">
      <c r="A684" s="1">
        <v>45237</v>
      </c>
      <c r="B684">
        <v>372.7</v>
      </c>
      <c r="C684">
        <f t="shared" si="50"/>
        <v>9.4526150429294908E-3</v>
      </c>
      <c r="D684">
        <f t="shared" si="51"/>
        <v>1.1593256190120693</v>
      </c>
      <c r="E684">
        <f t="shared" si="52"/>
        <v>1.2566567127037467</v>
      </c>
      <c r="F684">
        <f t="shared" si="53"/>
        <v>-7.7452412188421471E-2</v>
      </c>
      <c r="G684">
        <f t="shared" si="54"/>
        <v>0.19773167686524656</v>
      </c>
      <c r="H684" s="1"/>
    </row>
    <row r="685" spans="1:8" x14ac:dyDescent="0.45">
      <c r="A685" s="1">
        <v>45238</v>
      </c>
      <c r="B685">
        <v>372.94</v>
      </c>
      <c r="C685">
        <f t="shared" si="50"/>
        <v>6.439495572847509E-4</v>
      </c>
      <c r="D685">
        <f t="shared" si="51"/>
        <v>1.160072166231181</v>
      </c>
      <c r="E685">
        <f t="shared" si="52"/>
        <v>1.2566567127037467</v>
      </c>
      <c r="F685">
        <f t="shared" si="53"/>
        <v>-7.6858338077676058E-2</v>
      </c>
      <c r="G685">
        <f t="shared" si="54"/>
        <v>0.19623542529429672</v>
      </c>
      <c r="H685" s="1"/>
    </row>
    <row r="686" spans="1:8" x14ac:dyDescent="0.45">
      <c r="A686" s="1">
        <v>45239</v>
      </c>
      <c r="B686">
        <v>370.07</v>
      </c>
      <c r="C686">
        <f t="shared" si="50"/>
        <v>-7.695607872580057E-3</v>
      </c>
      <c r="D686">
        <f t="shared" si="51"/>
        <v>1.1511447057359714</v>
      </c>
      <c r="E686">
        <f t="shared" si="52"/>
        <v>1.2566567127037467</v>
      </c>
      <c r="F686">
        <f t="shared" si="53"/>
        <v>-8.3962474318672098E-2</v>
      </c>
      <c r="G686">
        <f t="shared" si="54"/>
        <v>0.19787843216846701</v>
      </c>
      <c r="H686" s="1"/>
    </row>
    <row r="687" spans="1:8" x14ac:dyDescent="0.45">
      <c r="A687" s="1">
        <v>45240</v>
      </c>
      <c r="B687">
        <v>378.39</v>
      </c>
      <c r="C687">
        <f t="shared" si="50"/>
        <v>2.2482233091036807E-2</v>
      </c>
      <c r="D687">
        <f t="shared" si="51"/>
        <v>1.1770250093318404</v>
      </c>
      <c r="E687">
        <f t="shared" si="52"/>
        <v>1.2566567127037467</v>
      </c>
      <c r="F687">
        <f t="shared" si="53"/>
        <v>-6.3367905146167969E-2</v>
      </c>
      <c r="G687">
        <f t="shared" si="54"/>
        <v>0.20703357917081178</v>
      </c>
      <c r="H687" s="1"/>
    </row>
    <row r="688" spans="1:8" x14ac:dyDescent="0.45">
      <c r="A688" s="1">
        <v>45243</v>
      </c>
      <c r="B688">
        <v>377.21</v>
      </c>
      <c r="C688">
        <f t="shared" si="50"/>
        <v>-3.1184756468194408E-3</v>
      </c>
      <c r="D688">
        <f t="shared" si="51"/>
        <v>1.1733544855045417</v>
      </c>
      <c r="E688">
        <f t="shared" si="52"/>
        <v>1.2566567127037467</v>
      </c>
      <c r="F688">
        <f t="shared" si="53"/>
        <v>-6.6288769523999092E-2</v>
      </c>
      <c r="G688">
        <f t="shared" si="54"/>
        <v>0.2046083831796717</v>
      </c>
      <c r="H688" s="1"/>
    </row>
    <row r="689" spans="1:8" x14ac:dyDescent="0.45">
      <c r="A689" s="1">
        <v>45244</v>
      </c>
      <c r="B689">
        <v>385.33</v>
      </c>
      <c r="C689">
        <f t="shared" si="50"/>
        <v>2.1526470666207276E-2</v>
      </c>
      <c r="D689">
        <f t="shared" si="51"/>
        <v>1.1986126664178178</v>
      </c>
      <c r="E689">
        <f t="shared" si="52"/>
        <v>1.2566567127037467</v>
      </c>
      <c r="F689">
        <f t="shared" si="53"/>
        <v>-4.618926211044927E-2</v>
      </c>
      <c r="G689">
        <f t="shared" si="54"/>
        <v>0.21614963821360347</v>
      </c>
      <c r="H689" s="1"/>
    </row>
    <row r="690" spans="1:8" x14ac:dyDescent="0.45">
      <c r="A690" s="1">
        <v>45245</v>
      </c>
      <c r="B690">
        <v>385.62</v>
      </c>
      <c r="C690">
        <f t="shared" si="50"/>
        <v>7.5260166610435775E-4</v>
      </c>
      <c r="D690">
        <f t="shared" si="51"/>
        <v>1.1995147443075778</v>
      </c>
      <c r="E690">
        <f t="shared" si="52"/>
        <v>1.2566567127037467</v>
      </c>
      <c r="F690">
        <f t="shared" si="53"/>
        <v>-4.547142255996528E-2</v>
      </c>
      <c r="G690">
        <f t="shared" si="54"/>
        <v>0.20844266266746225</v>
      </c>
      <c r="H690" s="1"/>
    </row>
    <row r="691" spans="1:8" x14ac:dyDescent="0.45">
      <c r="A691" s="1">
        <v>45246</v>
      </c>
      <c r="B691">
        <v>385.95</v>
      </c>
      <c r="C691">
        <f t="shared" si="50"/>
        <v>8.5576474249249301E-4</v>
      </c>
      <c r="D691">
        <f t="shared" si="51"/>
        <v>1.2005412467338561</v>
      </c>
      <c r="E691">
        <f t="shared" si="52"/>
        <v>1.2566567127037467</v>
      </c>
      <c r="F691">
        <f t="shared" si="53"/>
        <v>-4.4654570657690518E-2</v>
      </c>
      <c r="G691">
        <f t="shared" si="54"/>
        <v>0.20346814685226827</v>
      </c>
      <c r="H691" s="1"/>
    </row>
    <row r="692" spans="1:8" x14ac:dyDescent="0.45">
      <c r="A692" s="1">
        <v>45247</v>
      </c>
      <c r="B692">
        <v>386.04</v>
      </c>
      <c r="C692">
        <f t="shared" si="50"/>
        <v>2.3319082782746747E-4</v>
      </c>
      <c r="D692">
        <f t="shared" si="51"/>
        <v>1.2008212019410229</v>
      </c>
      <c r="E692">
        <f t="shared" si="52"/>
        <v>1.2566567127037467</v>
      </c>
      <c r="F692">
        <f t="shared" si="53"/>
        <v>-4.4431792866161057E-2</v>
      </c>
      <c r="G692">
        <f t="shared" si="54"/>
        <v>0.19199458646238687</v>
      </c>
      <c r="H692" s="1"/>
    </row>
    <row r="693" spans="1:8" x14ac:dyDescent="0.45">
      <c r="A693" s="1">
        <v>45250</v>
      </c>
      <c r="B693">
        <v>390.74</v>
      </c>
      <c r="C693">
        <f t="shared" si="50"/>
        <v>1.217490415500988E-2</v>
      </c>
      <c r="D693">
        <f t="shared" si="51"/>
        <v>1.2154410849819586</v>
      </c>
      <c r="E693">
        <f t="shared" si="52"/>
        <v>1.2566567127037467</v>
      </c>
      <c r="F693">
        <f t="shared" si="53"/>
        <v>-3.2797841530732064E-2</v>
      </c>
      <c r="G693">
        <f t="shared" si="54"/>
        <v>0.19390887317896435</v>
      </c>
      <c r="H693" s="1"/>
    </row>
    <row r="694" spans="1:8" x14ac:dyDescent="0.45">
      <c r="A694" s="1">
        <v>45251</v>
      </c>
      <c r="B694">
        <v>388.47</v>
      </c>
      <c r="C694">
        <f t="shared" si="50"/>
        <v>-5.809489686236291E-3</v>
      </c>
      <c r="D694">
        <f t="shared" si="51"/>
        <v>1.208379992534528</v>
      </c>
      <c r="E694">
        <f t="shared" si="52"/>
        <v>1.2566567127037467</v>
      </c>
      <c r="F694">
        <f t="shared" si="53"/>
        <v>-3.8416792494864738E-2</v>
      </c>
      <c r="G694">
        <f t="shared" si="54"/>
        <v>0.19648094343462133</v>
      </c>
      <c r="H694" s="1"/>
    </row>
    <row r="695" spans="1:8" x14ac:dyDescent="0.45">
      <c r="A695" s="1">
        <v>45252</v>
      </c>
      <c r="B695">
        <v>390.06</v>
      </c>
      <c r="C695">
        <f t="shared" si="50"/>
        <v>4.0929801529074883E-3</v>
      </c>
      <c r="D695">
        <f t="shared" si="51"/>
        <v>1.2133258678611423</v>
      </c>
      <c r="E695">
        <f t="shared" si="52"/>
        <v>1.2566567127037467</v>
      </c>
      <c r="F695">
        <f t="shared" si="53"/>
        <v>-3.4481051511177085E-2</v>
      </c>
      <c r="G695">
        <f t="shared" si="54"/>
        <v>0.16523772300447009</v>
      </c>
      <c r="H695" s="1"/>
    </row>
    <row r="696" spans="1:8" x14ac:dyDescent="0.45">
      <c r="A696" s="1">
        <v>45254</v>
      </c>
      <c r="B696">
        <v>389.51</v>
      </c>
      <c r="C696">
        <f t="shared" si="50"/>
        <v>-1.4100394811055184E-3</v>
      </c>
      <c r="D696">
        <f t="shared" si="51"/>
        <v>1.2116150304840114</v>
      </c>
      <c r="E696">
        <f t="shared" si="52"/>
        <v>1.2566567127037467</v>
      </c>
      <c r="F696">
        <f t="shared" si="53"/>
        <v>-3.5842471348301874E-2</v>
      </c>
      <c r="G696">
        <f t="shared" si="54"/>
        <v>0.14055352559458842</v>
      </c>
      <c r="H696" s="1"/>
    </row>
    <row r="697" spans="1:8" x14ac:dyDescent="0.45">
      <c r="A697" s="1">
        <v>45257</v>
      </c>
      <c r="B697">
        <v>389.17</v>
      </c>
      <c r="C697">
        <f t="shared" si="50"/>
        <v>-8.7289158173087245E-4</v>
      </c>
      <c r="D697">
        <f t="shared" si="51"/>
        <v>1.2105574219236033</v>
      </c>
      <c r="E697">
        <f t="shared" si="52"/>
        <v>1.2566567127037467</v>
      </c>
      <c r="F697">
        <f t="shared" si="53"/>
        <v>-3.6684076338524441E-2</v>
      </c>
      <c r="G697">
        <f t="shared" si="54"/>
        <v>0.14279116294820537</v>
      </c>
      <c r="H697" s="1"/>
    </row>
    <row r="698" spans="1:8" x14ac:dyDescent="0.45">
      <c r="A698" s="1">
        <v>45258</v>
      </c>
      <c r="B698">
        <v>390.19</v>
      </c>
      <c r="C698">
        <f t="shared" si="50"/>
        <v>2.6209625613484722E-3</v>
      </c>
      <c r="D698">
        <f t="shared" si="51"/>
        <v>1.2137302476048275</v>
      </c>
      <c r="E698">
        <f t="shared" si="52"/>
        <v>1.2566567127037467</v>
      </c>
      <c r="F698">
        <f t="shared" si="53"/>
        <v>-3.4159261367856963E-2</v>
      </c>
      <c r="G698">
        <f t="shared" si="54"/>
        <v>0.14188539995364072</v>
      </c>
      <c r="H698" s="1"/>
    </row>
    <row r="699" spans="1:8" x14ac:dyDescent="0.45">
      <c r="A699" s="1">
        <v>45259</v>
      </c>
      <c r="B699">
        <v>389.81</v>
      </c>
      <c r="C699">
        <f t="shared" si="50"/>
        <v>-9.7388451779900631E-4</v>
      </c>
      <c r="D699">
        <f t="shared" si="51"/>
        <v>1.2125482145079007</v>
      </c>
      <c r="E699">
        <f t="shared" si="52"/>
        <v>1.2566567127037467</v>
      </c>
      <c r="F699">
        <f t="shared" si="53"/>
        <v>-3.5099878709870413E-2</v>
      </c>
      <c r="G699">
        <f t="shared" si="54"/>
        <v>0.14378521126675609</v>
      </c>
      <c r="H699" s="1"/>
    </row>
    <row r="700" spans="1:8" x14ac:dyDescent="0.45">
      <c r="A700" s="1">
        <v>45260</v>
      </c>
      <c r="B700">
        <v>388.83</v>
      </c>
      <c r="C700">
        <f t="shared" si="50"/>
        <v>-2.5140453041225808E-3</v>
      </c>
      <c r="D700">
        <f t="shared" si="51"/>
        <v>1.2094998133631949</v>
      </c>
      <c r="E700">
        <f t="shared" si="52"/>
        <v>1.2566567127037467</v>
      </c>
      <c r="F700">
        <f t="shared" si="53"/>
        <v>-3.7525681328747118E-2</v>
      </c>
      <c r="G700">
        <f t="shared" si="54"/>
        <v>0.13893119911728882</v>
      </c>
      <c r="H700" s="1"/>
    </row>
    <row r="701" spans="1:8" x14ac:dyDescent="0.45">
      <c r="A701" s="1">
        <v>45261</v>
      </c>
      <c r="B701">
        <v>389.94</v>
      </c>
      <c r="C701">
        <f t="shared" si="50"/>
        <v>2.8547180001543548E-3</v>
      </c>
      <c r="D701">
        <f t="shared" si="51"/>
        <v>1.2129525942515862</v>
      </c>
      <c r="E701">
        <f t="shared" si="52"/>
        <v>1.2566567127037467</v>
      </c>
      <c r="F701">
        <f t="shared" si="53"/>
        <v>-3.4778088566549958E-2</v>
      </c>
      <c r="G701">
        <f t="shared" si="54"/>
        <v>0.12898669240255531</v>
      </c>
      <c r="H701" s="1"/>
    </row>
    <row r="702" spans="1:8" x14ac:dyDescent="0.45">
      <c r="A702" s="1">
        <v>45264</v>
      </c>
      <c r="B702">
        <v>386.32</v>
      </c>
      <c r="C702">
        <f t="shared" si="50"/>
        <v>-9.2834795096681244E-3</v>
      </c>
      <c r="D702">
        <f t="shared" si="51"/>
        <v>1.2016921736966528</v>
      </c>
      <c r="E702">
        <f t="shared" si="52"/>
        <v>1.2566567127037467</v>
      </c>
      <c r="F702">
        <f t="shared" si="53"/>
        <v>-4.3738706403625094E-2</v>
      </c>
      <c r="G702">
        <f t="shared" si="54"/>
        <v>0.13281765650732485</v>
      </c>
      <c r="H702" s="1"/>
    </row>
    <row r="703" spans="1:8" x14ac:dyDescent="0.45">
      <c r="A703" s="1">
        <v>45265</v>
      </c>
      <c r="B703">
        <v>387.29</v>
      </c>
      <c r="C703">
        <f t="shared" si="50"/>
        <v>2.5108718161110932E-3</v>
      </c>
      <c r="D703">
        <f t="shared" si="51"/>
        <v>1.2047094687072291</v>
      </c>
      <c r="E703">
        <f t="shared" si="52"/>
        <v>1.2566567127037467</v>
      </c>
      <c r="F703">
        <f t="shared" si="53"/>
        <v>-4.1337656872695971E-2</v>
      </c>
      <c r="G703">
        <f t="shared" si="54"/>
        <v>0.13268764122834112</v>
      </c>
      <c r="H703" s="1"/>
    </row>
    <row r="704" spans="1:8" x14ac:dyDescent="0.45">
      <c r="A704" s="1">
        <v>45266</v>
      </c>
      <c r="B704">
        <v>385.05</v>
      </c>
      <c r="C704">
        <f t="shared" si="50"/>
        <v>-5.783779596684635E-3</v>
      </c>
      <c r="D704">
        <f t="shared" si="51"/>
        <v>1.1977416946621875</v>
      </c>
      <c r="E704">
        <f t="shared" si="52"/>
        <v>1.2566567127037467</v>
      </c>
      <c r="F704">
        <f t="shared" si="53"/>
        <v>-4.6882348572985566E-2</v>
      </c>
      <c r="G704">
        <f t="shared" si="54"/>
        <v>0.13300836179836054</v>
      </c>
      <c r="H704" s="1"/>
    </row>
    <row r="705" spans="1:8" x14ac:dyDescent="0.45">
      <c r="A705" s="1">
        <v>45267</v>
      </c>
      <c r="B705">
        <v>390.43</v>
      </c>
      <c r="C705">
        <f t="shared" si="50"/>
        <v>1.3972211401116708E-2</v>
      </c>
      <c r="D705">
        <f t="shared" si="51"/>
        <v>1.2144767948239394</v>
      </c>
      <c r="E705">
        <f t="shared" si="52"/>
        <v>1.2566567127037467</v>
      </c>
      <c r="F705">
        <f t="shared" si="53"/>
        <v>-3.3565187257111329E-2</v>
      </c>
      <c r="G705">
        <f t="shared" si="54"/>
        <v>0.13988838111760371</v>
      </c>
      <c r="H705" s="1"/>
    </row>
    <row r="706" spans="1:8" x14ac:dyDescent="0.45">
      <c r="A706" s="1">
        <v>45268</v>
      </c>
      <c r="B706">
        <v>392.17</v>
      </c>
      <c r="C706">
        <f t="shared" si="50"/>
        <v>4.4566247470738674E-3</v>
      </c>
      <c r="D706">
        <f t="shared" si="51"/>
        <v>1.2198892621624988</v>
      </c>
      <c r="E706">
        <f t="shared" si="52"/>
        <v>1.2566567127037467</v>
      </c>
      <c r="F706">
        <f t="shared" si="53"/>
        <v>-2.9258149954207613E-2</v>
      </c>
      <c r="G706">
        <f t="shared" si="54"/>
        <v>0.13489791204345838</v>
      </c>
      <c r="H706" s="1"/>
    </row>
    <row r="707" spans="1:8" x14ac:dyDescent="0.45">
      <c r="A707" s="1">
        <v>45271</v>
      </c>
      <c r="B707">
        <v>395.52</v>
      </c>
      <c r="C707">
        <f t="shared" si="50"/>
        <v>8.5422138358364208E-3</v>
      </c>
      <c r="D707">
        <f t="shared" si="51"/>
        <v>1.2303098170959317</v>
      </c>
      <c r="E707">
        <f t="shared" si="52"/>
        <v>1.2566567127037467</v>
      </c>
      <c r="F707">
        <f t="shared" si="53"/>
        <v>-2.096586549172097E-2</v>
      </c>
      <c r="G707">
        <f t="shared" si="54"/>
        <v>0.11584063939666829</v>
      </c>
      <c r="H707" s="1"/>
    </row>
    <row r="708" spans="1:8" x14ac:dyDescent="0.45">
      <c r="A708" s="1">
        <v>45272</v>
      </c>
      <c r="B708">
        <v>398.67</v>
      </c>
      <c r="C708">
        <f t="shared" ref="C708:C771" si="55">IFERROR((B708/B707)-1,"")</f>
        <v>7.9641990291263731E-3</v>
      </c>
      <c r="D708">
        <f t="shared" ref="D708:D771" si="56">D707*(1+C708)</f>
        <v>1.2401082493467717</v>
      </c>
      <c r="E708">
        <f t="shared" ref="E708:E771" si="57">MAX(E707,D708)</f>
        <v>1.2566567127037467</v>
      </c>
      <c r="F708">
        <f t="shared" ref="F708:F771" si="58">D708/E708-1</f>
        <v>-1.3168642788188634E-2</v>
      </c>
      <c r="G708">
        <f t="shared" si="54"/>
        <v>0.11571929776016361</v>
      </c>
      <c r="H708" s="1"/>
    </row>
    <row r="709" spans="1:8" x14ac:dyDescent="0.45">
      <c r="A709" s="1">
        <v>45273</v>
      </c>
      <c r="B709">
        <v>403.74</v>
      </c>
      <c r="C709">
        <f t="shared" si="55"/>
        <v>1.271728497253366E-2</v>
      </c>
      <c r="D709">
        <f t="shared" si="56"/>
        <v>1.2558790593505045</v>
      </c>
      <c r="E709">
        <f t="shared" si="57"/>
        <v>1.2566567127037467</v>
      </c>
      <c r="F709">
        <f t="shared" si="58"/>
        <v>-6.1882719869377212E-4</v>
      </c>
      <c r="G709">
        <f t="shared" si="54"/>
        <v>9.9958866919628644E-2</v>
      </c>
      <c r="H709" s="1"/>
    </row>
    <row r="710" spans="1:8" x14ac:dyDescent="0.45">
      <c r="A710" s="1">
        <v>45274</v>
      </c>
      <c r="B710">
        <v>403.39</v>
      </c>
      <c r="C710">
        <f t="shared" si="55"/>
        <v>-8.6689453608768119E-4</v>
      </c>
      <c r="D710">
        <f t="shared" si="56"/>
        <v>1.2547903446559665</v>
      </c>
      <c r="E710">
        <f t="shared" si="57"/>
        <v>1.2566567127037467</v>
      </c>
      <c r="F710">
        <f t="shared" si="58"/>
        <v>-1.4851852768642537E-3</v>
      </c>
      <c r="G710">
        <f t="shared" si="54"/>
        <v>0.1004672174557051</v>
      </c>
      <c r="H710" s="1"/>
    </row>
    <row r="711" spans="1:8" x14ac:dyDescent="0.45">
      <c r="A711" s="1">
        <v>45275</v>
      </c>
      <c r="B711">
        <v>405.34</v>
      </c>
      <c r="C711">
        <f t="shared" si="55"/>
        <v>4.8340315823396374E-3</v>
      </c>
      <c r="D711">
        <f t="shared" si="56"/>
        <v>1.2608560408112484</v>
      </c>
      <c r="E711">
        <f t="shared" si="57"/>
        <v>1.2608560408112484</v>
      </c>
      <c r="F711">
        <f t="shared" si="58"/>
        <v>0</v>
      </c>
      <c r="G711">
        <f t="shared" si="54"/>
        <v>0.10071447223325923</v>
      </c>
      <c r="H711" s="1"/>
    </row>
    <row r="712" spans="1:8" x14ac:dyDescent="0.45">
      <c r="A712" s="1">
        <v>45278</v>
      </c>
      <c r="B712">
        <v>407.08</v>
      </c>
      <c r="C712">
        <f t="shared" si="55"/>
        <v>4.2926925543989025E-3</v>
      </c>
      <c r="D712">
        <f t="shared" si="56"/>
        <v>1.2662685081498077</v>
      </c>
      <c r="E712">
        <f t="shared" si="57"/>
        <v>1.2662685081498077</v>
      </c>
      <c r="F712">
        <f t="shared" si="58"/>
        <v>0</v>
      </c>
      <c r="G712">
        <f t="shared" si="54"/>
        <v>0.10054779065594403</v>
      </c>
      <c r="H712" s="1"/>
    </row>
    <row r="713" spans="1:8" x14ac:dyDescent="0.45">
      <c r="A713" s="1">
        <v>45279</v>
      </c>
      <c r="B713">
        <v>409.16</v>
      </c>
      <c r="C713">
        <f t="shared" si="55"/>
        <v>5.10956077429503E-3</v>
      </c>
      <c r="D713">
        <f t="shared" si="56"/>
        <v>1.272738584048775</v>
      </c>
      <c r="E713">
        <f t="shared" si="57"/>
        <v>1.272738584048775</v>
      </c>
      <c r="F713">
        <f t="shared" si="58"/>
        <v>0</v>
      </c>
      <c r="G713">
        <f t="shared" si="54"/>
        <v>9.4649721821434774E-2</v>
      </c>
      <c r="H713" s="1"/>
    </row>
    <row r="714" spans="1:8" x14ac:dyDescent="0.45">
      <c r="A714" s="1">
        <v>45280</v>
      </c>
      <c r="B714">
        <v>403.08</v>
      </c>
      <c r="C714">
        <f t="shared" si="55"/>
        <v>-1.4859712581875129E-2</v>
      </c>
      <c r="D714">
        <f t="shared" si="56"/>
        <v>1.2538260544979476</v>
      </c>
      <c r="E714">
        <f t="shared" si="57"/>
        <v>1.272738584048775</v>
      </c>
      <c r="F714">
        <f t="shared" si="58"/>
        <v>-1.4859712581875129E-2</v>
      </c>
      <c r="G714">
        <f t="shared" si="54"/>
        <v>0.10928347340829213</v>
      </c>
      <c r="H714" s="1"/>
    </row>
    <row r="715" spans="1:8" x14ac:dyDescent="0.45">
      <c r="A715" s="1">
        <v>45281</v>
      </c>
      <c r="B715">
        <v>407.77</v>
      </c>
      <c r="C715">
        <f t="shared" si="55"/>
        <v>1.1635407363302486E-2</v>
      </c>
      <c r="D715">
        <f t="shared" si="56"/>
        <v>1.2684148314047534</v>
      </c>
      <c r="E715">
        <f t="shared" si="57"/>
        <v>1.272738584048775</v>
      </c>
      <c r="F715">
        <f t="shared" si="58"/>
        <v>-3.3972040277643334E-3</v>
      </c>
      <c r="G715">
        <f t="shared" si="54"/>
        <v>0.11447441025971014</v>
      </c>
      <c r="H715" s="1"/>
    </row>
    <row r="716" spans="1:8" x14ac:dyDescent="0.45">
      <c r="A716" s="1">
        <v>45282</v>
      </c>
      <c r="B716">
        <v>408.38</v>
      </c>
      <c r="C716">
        <f t="shared" si="55"/>
        <v>1.4959413394806109E-3</v>
      </c>
      <c r="D716">
        <f t="shared" si="56"/>
        <v>1.2703123055866621</v>
      </c>
      <c r="E716">
        <f t="shared" si="57"/>
        <v>1.272738584048775</v>
      </c>
      <c r="F716">
        <f t="shared" si="58"/>
        <v>-1.9063447062275252E-3</v>
      </c>
      <c r="G716">
        <f t="shared" si="54"/>
        <v>0.11370518039719116</v>
      </c>
      <c r="H716" s="1"/>
    </row>
    <row r="717" spans="1:8" x14ac:dyDescent="0.45">
      <c r="A717" s="1">
        <v>45286</v>
      </c>
      <c r="B717">
        <v>410.88</v>
      </c>
      <c r="C717">
        <f t="shared" si="55"/>
        <v>6.121749351094552E-3</v>
      </c>
      <c r="D717">
        <f t="shared" si="56"/>
        <v>1.2780888391190746</v>
      </c>
      <c r="E717">
        <f t="shared" si="57"/>
        <v>1.2780888391190746</v>
      </c>
      <c r="F717">
        <f t="shared" si="58"/>
        <v>0</v>
      </c>
      <c r="G717">
        <f t="shared" si="54"/>
        <v>0.1137516450666209</v>
      </c>
      <c r="H717" s="1"/>
    </row>
    <row r="718" spans="1:8" x14ac:dyDescent="0.45">
      <c r="A718" s="1">
        <v>45287</v>
      </c>
      <c r="B718">
        <v>411.5</v>
      </c>
      <c r="C718">
        <f t="shared" si="55"/>
        <v>1.5089563862928923E-3</v>
      </c>
      <c r="D718">
        <f t="shared" si="56"/>
        <v>1.280017419435113</v>
      </c>
      <c r="E718">
        <f t="shared" si="57"/>
        <v>1.280017419435113</v>
      </c>
      <c r="F718">
        <f t="shared" si="58"/>
        <v>0</v>
      </c>
      <c r="G718">
        <f t="shared" si="54"/>
        <v>0.11383583582528486</v>
      </c>
      <c r="H718" s="1"/>
    </row>
    <row r="719" spans="1:8" x14ac:dyDescent="0.45">
      <c r="A719" s="1">
        <v>45288</v>
      </c>
      <c r="B719">
        <v>411.3</v>
      </c>
      <c r="C719">
        <f t="shared" si="55"/>
        <v>-4.86026731470246E-4</v>
      </c>
      <c r="D719">
        <f t="shared" si="56"/>
        <v>1.27939529675252</v>
      </c>
      <c r="E719">
        <f t="shared" si="57"/>
        <v>1.280017419435113</v>
      </c>
      <c r="F719">
        <f t="shared" si="58"/>
        <v>-4.86026731470246E-4</v>
      </c>
      <c r="G719">
        <f t="shared" si="54"/>
        <v>0.11364076765301216</v>
      </c>
      <c r="H719" s="1"/>
    </row>
    <row r="720" spans="1:8" x14ac:dyDescent="0.45">
      <c r="A720" s="1">
        <v>45289</v>
      </c>
      <c r="B720">
        <v>409.52</v>
      </c>
      <c r="C720">
        <f t="shared" si="55"/>
        <v>-4.3277413080476945E-3</v>
      </c>
      <c r="D720">
        <f t="shared" si="56"/>
        <v>1.2738584048774422</v>
      </c>
      <c r="E720">
        <f t="shared" si="57"/>
        <v>1.280017419435113</v>
      </c>
      <c r="F720">
        <f t="shared" si="58"/>
        <v>-4.8116646415553577E-3</v>
      </c>
      <c r="G720">
        <f t="shared" si="54"/>
        <v>0.11492196572670538</v>
      </c>
      <c r="H720" s="1"/>
    </row>
    <row r="721" spans="1:8" x14ac:dyDescent="0.45">
      <c r="A721" s="1">
        <v>45293</v>
      </c>
      <c r="B721">
        <v>402.59</v>
      </c>
      <c r="C721">
        <f t="shared" si="55"/>
        <v>-1.6922250439538988E-2</v>
      </c>
      <c r="D721">
        <f t="shared" si="56"/>
        <v>1.2523018539255943</v>
      </c>
      <c r="E721">
        <f t="shared" si="57"/>
        <v>1.280017419435113</v>
      </c>
      <c r="F721">
        <f t="shared" si="58"/>
        <v>-2.1652490886998943E-2</v>
      </c>
      <c r="G721">
        <f t="shared" si="54"/>
        <v>0.13421018297122567</v>
      </c>
      <c r="H721" s="1"/>
    </row>
    <row r="722" spans="1:8" x14ac:dyDescent="0.45">
      <c r="A722" s="1">
        <v>45294</v>
      </c>
      <c r="B722">
        <v>398.33</v>
      </c>
      <c r="C722">
        <f t="shared" si="55"/>
        <v>-1.0581484885367254E-2</v>
      </c>
      <c r="D722">
        <f t="shared" si="56"/>
        <v>1.2390506407863633</v>
      </c>
      <c r="E722">
        <f t="shared" si="57"/>
        <v>1.280017419435113</v>
      </c>
      <c r="F722">
        <f t="shared" si="58"/>
        <v>-3.2004860267314861E-2</v>
      </c>
      <c r="G722">
        <f t="shared" si="54"/>
        <v>0.13568132539762473</v>
      </c>
      <c r="H722" s="1"/>
    </row>
    <row r="723" spans="1:8" x14ac:dyDescent="0.45">
      <c r="A723" s="1">
        <v>45295</v>
      </c>
      <c r="B723">
        <v>396.28</v>
      </c>
      <c r="C723">
        <f t="shared" si="55"/>
        <v>-5.1464865814776495E-3</v>
      </c>
      <c r="D723">
        <f t="shared" si="56"/>
        <v>1.232673883289785</v>
      </c>
      <c r="E723">
        <f t="shared" si="57"/>
        <v>1.280017419435113</v>
      </c>
      <c r="F723">
        <f t="shared" si="58"/>
        <v>-3.6986634264884688E-2</v>
      </c>
      <c r="G723">
        <f t="shared" si="54"/>
        <v>0.1376823943784323</v>
      </c>
      <c r="H723" s="1"/>
    </row>
    <row r="724" spans="1:8" x14ac:dyDescent="0.45">
      <c r="A724" s="1">
        <v>45296</v>
      </c>
      <c r="B724">
        <v>396.75</v>
      </c>
      <c r="C724">
        <f t="shared" si="55"/>
        <v>1.1860300797417178E-3</v>
      </c>
      <c r="D724">
        <f t="shared" si="56"/>
        <v>1.2341358715938786</v>
      </c>
      <c r="E724">
        <f t="shared" si="57"/>
        <v>1.280017419435113</v>
      </c>
      <c r="F724">
        <f t="shared" si="58"/>
        <v>-3.5844471445929615E-2</v>
      </c>
      <c r="G724">
        <f t="shared" si="54"/>
        <v>0.13520478330257704</v>
      </c>
      <c r="H724" s="1"/>
    </row>
    <row r="725" spans="1:8" x14ac:dyDescent="0.45">
      <c r="A725" s="1">
        <v>45299</v>
      </c>
      <c r="B725">
        <v>404.95</v>
      </c>
      <c r="C725">
        <f t="shared" si="55"/>
        <v>2.0667926906112077E-2</v>
      </c>
      <c r="D725">
        <f t="shared" si="56"/>
        <v>1.2596429015801918</v>
      </c>
      <c r="E725">
        <f t="shared" si="57"/>
        <v>1.280017419435113</v>
      </c>
      <c r="F725">
        <f t="shared" si="58"/>
        <v>-1.5917375455650307E-2</v>
      </c>
      <c r="G725">
        <f t="shared" si="54"/>
        <v>0.14510240296892518</v>
      </c>
      <c r="H725" s="1"/>
    </row>
    <row r="726" spans="1:8" x14ac:dyDescent="0.45">
      <c r="A726" s="1">
        <v>45300</v>
      </c>
      <c r="B726">
        <v>405.75</v>
      </c>
      <c r="C726">
        <f t="shared" si="55"/>
        <v>1.9755525373503779E-3</v>
      </c>
      <c r="D726">
        <f t="shared" si="56"/>
        <v>1.2621313923105639</v>
      </c>
      <c r="E726">
        <f t="shared" si="57"/>
        <v>1.280017419435113</v>
      </c>
      <c r="F726">
        <f t="shared" si="58"/>
        <v>-1.3973268529769212E-2</v>
      </c>
      <c r="G726">
        <f t="shared" ref="G726:G789" si="59">_xlfn.STDEV.S(C707:C726)*SQRT(252)</f>
        <v>0.14478205436092764</v>
      </c>
      <c r="H726" s="1"/>
    </row>
    <row r="727" spans="1:8" x14ac:dyDescent="0.45">
      <c r="A727" s="1">
        <v>45301</v>
      </c>
      <c r="B727">
        <v>408.5</v>
      </c>
      <c r="C727">
        <f t="shared" si="55"/>
        <v>6.7775723967959944E-3</v>
      </c>
      <c r="D727">
        <f t="shared" si="56"/>
        <v>1.2706855791962177</v>
      </c>
      <c r="E727">
        <f t="shared" si="57"/>
        <v>1.280017419435113</v>
      </c>
      <c r="F727">
        <f t="shared" si="58"/>
        <v>-7.290400972053579E-3</v>
      </c>
      <c r="G727">
        <f t="shared" si="59"/>
        <v>0.14381520785641894</v>
      </c>
      <c r="H727" s="1"/>
    </row>
    <row r="728" spans="1:8" x14ac:dyDescent="0.45">
      <c r="A728" s="1">
        <v>45302</v>
      </c>
      <c r="B728">
        <v>409.35</v>
      </c>
      <c r="C728">
        <f t="shared" si="55"/>
        <v>2.0807833537332954E-3</v>
      </c>
      <c r="D728">
        <f t="shared" si="56"/>
        <v>1.2733296005972381</v>
      </c>
      <c r="E728">
        <f t="shared" si="57"/>
        <v>1.280017419435113</v>
      </c>
      <c r="F728">
        <f t="shared" si="58"/>
        <v>-5.2247873633051167E-3</v>
      </c>
      <c r="G728">
        <f t="shared" si="59"/>
        <v>0.14189531918231099</v>
      </c>
      <c r="H728" s="1"/>
    </row>
    <row r="729" spans="1:8" x14ac:dyDescent="0.45">
      <c r="A729" s="1">
        <v>45303</v>
      </c>
      <c r="B729">
        <v>409.56</v>
      </c>
      <c r="C729">
        <f t="shared" si="55"/>
        <v>5.1300842799562041E-4</v>
      </c>
      <c r="D729">
        <f t="shared" si="56"/>
        <v>1.2739828294139608</v>
      </c>
      <c r="E729">
        <f t="shared" si="57"/>
        <v>1.280017419435113</v>
      </c>
      <c r="F729">
        <f t="shared" si="58"/>
        <v>-4.7144592952612641E-3</v>
      </c>
      <c r="G729">
        <f t="shared" si="59"/>
        <v>0.13540474292192148</v>
      </c>
      <c r="H729" s="1"/>
    </row>
    <row r="730" spans="1:8" x14ac:dyDescent="0.45">
      <c r="A730" s="1">
        <v>45307</v>
      </c>
      <c r="B730">
        <v>409.52</v>
      </c>
      <c r="C730">
        <f t="shared" si="55"/>
        <v>-9.7665787674672266E-5</v>
      </c>
      <c r="D730">
        <f t="shared" si="56"/>
        <v>1.2738584048774422</v>
      </c>
      <c r="E730">
        <f t="shared" si="57"/>
        <v>1.280017419435113</v>
      </c>
      <c r="F730">
        <f t="shared" si="58"/>
        <v>-4.8116646415553577E-3</v>
      </c>
      <c r="G730">
        <f t="shared" si="59"/>
        <v>0.13531037942553079</v>
      </c>
      <c r="H730" s="1"/>
    </row>
    <row r="731" spans="1:8" x14ac:dyDescent="0.45">
      <c r="A731" s="1">
        <v>45308</v>
      </c>
      <c r="B731">
        <v>407.21</v>
      </c>
      <c r="C731">
        <f t="shared" si="55"/>
        <v>-5.6407501465129961E-3</v>
      </c>
      <c r="D731">
        <f t="shared" si="56"/>
        <v>1.266672887893493</v>
      </c>
      <c r="E731">
        <f t="shared" si="57"/>
        <v>1.280017419435113</v>
      </c>
      <c r="F731">
        <f t="shared" si="58"/>
        <v>-1.0425273390036516E-2</v>
      </c>
      <c r="G731">
        <f t="shared" si="59"/>
        <v>0.13626229216941305</v>
      </c>
      <c r="H731" s="1"/>
    </row>
    <row r="732" spans="1:8" x14ac:dyDescent="0.45">
      <c r="A732" s="1">
        <v>45309</v>
      </c>
      <c r="B732">
        <v>412.99</v>
      </c>
      <c r="C732">
        <f t="shared" si="55"/>
        <v>1.4194150438348929E-2</v>
      </c>
      <c r="D732">
        <f t="shared" si="56"/>
        <v>1.2846522334204311</v>
      </c>
      <c r="E732">
        <f t="shared" si="57"/>
        <v>1.2846522334204311</v>
      </c>
      <c r="F732">
        <f t="shared" si="58"/>
        <v>0</v>
      </c>
      <c r="G732">
        <f t="shared" si="59"/>
        <v>0.14443175552397111</v>
      </c>
      <c r="H732" s="1"/>
    </row>
    <row r="733" spans="1:8" x14ac:dyDescent="0.45">
      <c r="A733" s="1">
        <v>45310</v>
      </c>
      <c r="B733">
        <v>421.18</v>
      </c>
      <c r="C733">
        <f t="shared" si="55"/>
        <v>1.9830988643792846E-2</v>
      </c>
      <c r="D733">
        <f t="shared" si="56"/>
        <v>1.3101281572726149</v>
      </c>
      <c r="E733">
        <f t="shared" si="57"/>
        <v>1.3101281572726149</v>
      </c>
      <c r="F733">
        <f t="shared" si="58"/>
        <v>0</v>
      </c>
      <c r="G733">
        <f t="shared" si="59"/>
        <v>0.15902719123230205</v>
      </c>
      <c r="H733" s="1"/>
    </row>
    <row r="734" spans="1:8" x14ac:dyDescent="0.45">
      <c r="A734" s="1">
        <v>45313</v>
      </c>
      <c r="B734">
        <v>421.73</v>
      </c>
      <c r="C734">
        <f t="shared" si="55"/>
        <v>1.3058549788689255E-3</v>
      </c>
      <c r="D734">
        <f t="shared" si="56"/>
        <v>1.3118389946497457</v>
      </c>
      <c r="E734">
        <f t="shared" si="57"/>
        <v>1.3118389946497457</v>
      </c>
      <c r="F734">
        <f t="shared" si="58"/>
        <v>0</v>
      </c>
      <c r="G734">
        <f t="shared" si="59"/>
        <v>0.146862796116911</v>
      </c>
      <c r="H734" s="1"/>
    </row>
    <row r="735" spans="1:8" x14ac:dyDescent="0.45">
      <c r="A735" s="1">
        <v>45314</v>
      </c>
      <c r="B735">
        <v>423.48</v>
      </c>
      <c r="C735">
        <f t="shared" si="55"/>
        <v>4.149574372228626E-3</v>
      </c>
      <c r="D735">
        <f t="shared" si="56"/>
        <v>1.3172825681224345</v>
      </c>
      <c r="E735">
        <f t="shared" si="57"/>
        <v>1.3172825681224345</v>
      </c>
      <c r="F735">
        <f t="shared" si="58"/>
        <v>0</v>
      </c>
      <c r="G735">
        <f t="shared" si="59"/>
        <v>0.14290527624606542</v>
      </c>
      <c r="H735" s="1"/>
    </row>
    <row r="736" spans="1:8" x14ac:dyDescent="0.45">
      <c r="A736" s="1">
        <v>45315</v>
      </c>
      <c r="B736">
        <v>425.83</v>
      </c>
      <c r="C736">
        <f t="shared" si="55"/>
        <v>5.549258524605527E-3</v>
      </c>
      <c r="D736">
        <f t="shared" si="56"/>
        <v>1.3245925096429021</v>
      </c>
      <c r="E736">
        <f t="shared" si="57"/>
        <v>1.3245925096429021</v>
      </c>
      <c r="F736">
        <f t="shared" si="58"/>
        <v>0</v>
      </c>
      <c r="G736">
        <f t="shared" si="59"/>
        <v>0.14346507524413829</v>
      </c>
      <c r="H736" s="1"/>
    </row>
    <row r="737" spans="1:8" x14ac:dyDescent="0.45">
      <c r="A737" s="1">
        <v>45316</v>
      </c>
      <c r="B737">
        <v>426.35</v>
      </c>
      <c r="C737">
        <f t="shared" si="55"/>
        <v>1.2211445882159833E-3</v>
      </c>
      <c r="D737">
        <f t="shared" si="56"/>
        <v>1.3262100286176439</v>
      </c>
      <c r="E737">
        <f t="shared" si="57"/>
        <v>1.3262100286176439</v>
      </c>
      <c r="F737">
        <f t="shared" si="58"/>
        <v>0</v>
      </c>
      <c r="G737">
        <f t="shared" si="59"/>
        <v>0.14271056221994619</v>
      </c>
      <c r="H737" s="1"/>
    </row>
    <row r="738" spans="1:8" x14ac:dyDescent="0.45">
      <c r="A738" s="1">
        <v>45317</v>
      </c>
      <c r="B738">
        <v>423.81</v>
      </c>
      <c r="C738">
        <f t="shared" si="55"/>
        <v>-5.9575466166296165E-3</v>
      </c>
      <c r="D738">
        <f t="shared" si="56"/>
        <v>1.3183090705487126</v>
      </c>
      <c r="E738">
        <f t="shared" si="57"/>
        <v>1.3262100286176439</v>
      </c>
      <c r="F738">
        <f t="shared" si="58"/>
        <v>-5.9575466166296165E-3</v>
      </c>
      <c r="G738">
        <f t="shared" si="59"/>
        <v>0.14540906029982945</v>
      </c>
      <c r="H738" s="1"/>
    </row>
    <row r="739" spans="1:8" x14ac:dyDescent="0.45">
      <c r="A739" s="1">
        <v>45320</v>
      </c>
      <c r="B739">
        <v>428.15</v>
      </c>
      <c r="C739">
        <f t="shared" si="55"/>
        <v>1.0240437932092172E-2</v>
      </c>
      <c r="D739">
        <f t="shared" si="56"/>
        <v>1.3318091327609809</v>
      </c>
      <c r="E739">
        <f t="shared" si="57"/>
        <v>1.3318091327609809</v>
      </c>
      <c r="F739">
        <f t="shared" si="58"/>
        <v>0</v>
      </c>
      <c r="G739">
        <f t="shared" si="59"/>
        <v>0.14840575998131433</v>
      </c>
      <c r="H739" s="1"/>
    </row>
    <row r="740" spans="1:8" x14ac:dyDescent="0.45">
      <c r="A740" s="1">
        <v>45321</v>
      </c>
      <c r="B740">
        <v>425.3</v>
      </c>
      <c r="C740">
        <f t="shared" si="55"/>
        <v>-6.6565456031764114E-3</v>
      </c>
      <c r="D740">
        <f t="shared" si="56"/>
        <v>1.3229438845340307</v>
      </c>
      <c r="E740">
        <f t="shared" si="57"/>
        <v>1.3318091327609809</v>
      </c>
      <c r="F740">
        <f t="shared" si="58"/>
        <v>-6.6565456031764114E-3</v>
      </c>
      <c r="G740">
        <f t="shared" si="59"/>
        <v>0.14995546890363223</v>
      </c>
      <c r="H740" s="1"/>
    </row>
    <row r="741" spans="1:8" x14ac:dyDescent="0.45">
      <c r="A741" s="1">
        <v>45322</v>
      </c>
      <c r="B741">
        <v>416.97</v>
      </c>
      <c r="C741">
        <f t="shared" si="55"/>
        <v>-1.9586174465083483E-2</v>
      </c>
      <c r="D741">
        <f t="shared" si="56"/>
        <v>1.2970324748040318</v>
      </c>
      <c r="E741">
        <f t="shared" si="57"/>
        <v>1.3318091327609809</v>
      </c>
      <c r="F741">
        <f t="shared" si="58"/>
        <v>-2.6112343804741256E-2</v>
      </c>
      <c r="G741">
        <f t="shared" si="59"/>
        <v>0.15462390492266348</v>
      </c>
      <c r="H741" s="1"/>
    </row>
    <row r="742" spans="1:8" x14ac:dyDescent="0.45">
      <c r="A742" s="1">
        <v>45323</v>
      </c>
      <c r="B742">
        <v>421.88</v>
      </c>
      <c r="C742">
        <f t="shared" si="55"/>
        <v>1.1775427488788015E-2</v>
      </c>
      <c r="D742">
        <f t="shared" si="56"/>
        <v>1.3123055866616899</v>
      </c>
      <c r="E742">
        <f t="shared" si="57"/>
        <v>1.3318091327609809</v>
      </c>
      <c r="F742">
        <f t="shared" si="58"/>
        <v>-1.4644400326988327E-2</v>
      </c>
      <c r="G742">
        <f t="shared" si="59"/>
        <v>0.15120473803851828</v>
      </c>
      <c r="H742" s="1"/>
    </row>
    <row r="743" spans="1:8" x14ac:dyDescent="0.45">
      <c r="A743" s="1">
        <v>45324</v>
      </c>
      <c r="B743">
        <v>429.01</v>
      </c>
      <c r="C743">
        <f t="shared" si="55"/>
        <v>1.6900540438039346E-2</v>
      </c>
      <c r="D743">
        <f t="shared" si="56"/>
        <v>1.3344842602961309</v>
      </c>
      <c r="E743">
        <f t="shared" si="57"/>
        <v>1.3344842602961309</v>
      </c>
      <c r="F743">
        <f t="shared" si="58"/>
        <v>0</v>
      </c>
      <c r="G743">
        <f t="shared" si="59"/>
        <v>0.15578956526410953</v>
      </c>
      <c r="H743" s="1"/>
    </row>
    <row r="744" spans="1:8" x14ac:dyDescent="0.45">
      <c r="A744" s="1">
        <v>45327</v>
      </c>
      <c r="B744">
        <v>428.45</v>
      </c>
      <c r="C744">
        <f t="shared" si="55"/>
        <v>-1.3053308780681672E-3</v>
      </c>
      <c r="D744">
        <f t="shared" si="56"/>
        <v>1.3327423167848704</v>
      </c>
      <c r="E744">
        <f t="shared" si="57"/>
        <v>1.3344842602961309</v>
      </c>
      <c r="F744">
        <f t="shared" si="58"/>
        <v>-1.3053308780681672E-3</v>
      </c>
      <c r="G744">
        <f t="shared" si="59"/>
        <v>0.15663965189083395</v>
      </c>
      <c r="H744" s="1"/>
    </row>
    <row r="745" spans="1:8" x14ac:dyDescent="0.45">
      <c r="A745" s="1">
        <v>45328</v>
      </c>
      <c r="B745">
        <v>427.59</v>
      </c>
      <c r="C745">
        <f t="shared" si="55"/>
        <v>-2.0072353833586742E-3</v>
      </c>
      <c r="D745">
        <f t="shared" si="56"/>
        <v>1.3300671892497204</v>
      </c>
      <c r="E745">
        <f t="shared" si="57"/>
        <v>1.3344842602961309</v>
      </c>
      <c r="F745">
        <f t="shared" si="58"/>
        <v>-3.3099461551013842E-3</v>
      </c>
      <c r="G745">
        <f t="shared" si="59"/>
        <v>0.14466119147286141</v>
      </c>
      <c r="H745" s="1"/>
    </row>
    <row r="746" spans="1:8" x14ac:dyDescent="0.45">
      <c r="A746" s="1">
        <v>45329</v>
      </c>
      <c r="B746">
        <v>431.99</v>
      </c>
      <c r="C746">
        <f t="shared" si="55"/>
        <v>1.0290231296335328E-2</v>
      </c>
      <c r="D746">
        <f t="shared" si="56"/>
        <v>1.3437538882667668</v>
      </c>
      <c r="E746">
        <f t="shared" si="57"/>
        <v>1.3437538882667668</v>
      </c>
      <c r="F746">
        <f t="shared" si="58"/>
        <v>0</v>
      </c>
      <c r="G746">
        <f t="shared" si="59"/>
        <v>0.14705181394415781</v>
      </c>
      <c r="H746" s="1"/>
    </row>
    <row r="747" spans="1:8" x14ac:dyDescent="0.45">
      <c r="A747" s="1">
        <v>45330</v>
      </c>
      <c r="B747">
        <v>432.79</v>
      </c>
      <c r="C747">
        <f t="shared" si="55"/>
        <v>1.8518947197851965E-3</v>
      </c>
      <c r="D747">
        <f t="shared" si="56"/>
        <v>1.3462423789971389</v>
      </c>
      <c r="E747">
        <f t="shared" si="57"/>
        <v>1.3462423789971389</v>
      </c>
      <c r="F747">
        <f t="shared" si="58"/>
        <v>0</v>
      </c>
      <c r="G747">
        <f t="shared" si="59"/>
        <v>0.1464914207031994</v>
      </c>
      <c r="H747" s="1"/>
    </row>
    <row r="748" spans="1:8" x14ac:dyDescent="0.45">
      <c r="A748" s="1">
        <v>45331</v>
      </c>
      <c r="B748">
        <v>437.05</v>
      </c>
      <c r="C748">
        <f t="shared" si="55"/>
        <v>9.8431109776102588E-3</v>
      </c>
      <c r="D748">
        <f t="shared" si="56"/>
        <v>1.3594935921363698</v>
      </c>
      <c r="E748">
        <f t="shared" si="57"/>
        <v>1.3594935921363698</v>
      </c>
      <c r="F748">
        <f t="shared" si="58"/>
        <v>0</v>
      </c>
      <c r="G748">
        <f t="shared" si="59"/>
        <v>0.14847066627278921</v>
      </c>
      <c r="H748" s="1"/>
    </row>
    <row r="749" spans="1:8" x14ac:dyDescent="0.45">
      <c r="A749" s="1">
        <v>45334</v>
      </c>
      <c r="B749">
        <v>435.34</v>
      </c>
      <c r="C749">
        <f t="shared" si="55"/>
        <v>-3.9125958128360949E-3</v>
      </c>
      <c r="D749">
        <f t="shared" si="56"/>
        <v>1.3541744432001994</v>
      </c>
      <c r="E749">
        <f t="shared" si="57"/>
        <v>1.3594935921363698</v>
      </c>
      <c r="F749">
        <f t="shared" si="58"/>
        <v>-3.9125958128362059E-3</v>
      </c>
      <c r="G749">
        <f t="shared" si="59"/>
        <v>0.15039924561208473</v>
      </c>
      <c r="H749" s="1"/>
    </row>
    <row r="750" spans="1:8" x14ac:dyDescent="0.45">
      <c r="A750" s="1">
        <v>45335</v>
      </c>
      <c r="B750">
        <v>428.55</v>
      </c>
      <c r="C750">
        <f t="shared" si="55"/>
        <v>-1.5597004640051426E-2</v>
      </c>
      <c r="D750">
        <f t="shared" si="56"/>
        <v>1.3330533781261669</v>
      </c>
      <c r="E750">
        <f t="shared" si="57"/>
        <v>1.3594935921363698</v>
      </c>
      <c r="F750">
        <f t="shared" si="58"/>
        <v>-1.9448575677840085E-2</v>
      </c>
      <c r="G750">
        <f t="shared" si="59"/>
        <v>0.16419891422856117</v>
      </c>
      <c r="H750" s="1"/>
    </row>
    <row r="751" spans="1:8" x14ac:dyDescent="0.45">
      <c r="A751" s="1">
        <v>45336</v>
      </c>
      <c r="B751">
        <v>433.22</v>
      </c>
      <c r="C751">
        <f t="shared" si="55"/>
        <v>1.0897211527242989E-2</v>
      </c>
      <c r="D751">
        <f t="shared" si="56"/>
        <v>1.3475799427647135</v>
      </c>
      <c r="E751">
        <f t="shared" si="57"/>
        <v>1.3594935921363698</v>
      </c>
      <c r="F751">
        <f t="shared" si="58"/>
        <v>-8.7632993936621606E-3</v>
      </c>
      <c r="G751">
        <f t="shared" si="59"/>
        <v>0.16405231922538424</v>
      </c>
      <c r="H751" s="1"/>
    </row>
    <row r="752" spans="1:8" x14ac:dyDescent="0.45">
      <c r="A752" s="1">
        <v>45337</v>
      </c>
      <c r="B752">
        <v>434.51</v>
      </c>
      <c r="C752">
        <f t="shared" si="55"/>
        <v>2.9777018604864036E-3</v>
      </c>
      <c r="D752">
        <f t="shared" si="56"/>
        <v>1.3515926340674382</v>
      </c>
      <c r="E752">
        <f t="shared" si="57"/>
        <v>1.3594935921363698</v>
      </c>
      <c r="F752">
        <f t="shared" si="58"/>
        <v>-5.8116920260842253E-3</v>
      </c>
      <c r="G752">
        <f t="shared" si="59"/>
        <v>0.15878533638685643</v>
      </c>
      <c r="H752" s="1"/>
    </row>
    <row r="753" spans="1:8" x14ac:dyDescent="0.45">
      <c r="A753" s="1">
        <v>45338</v>
      </c>
      <c r="B753">
        <v>430.57</v>
      </c>
      <c r="C753">
        <f t="shared" si="55"/>
        <v>-9.0676854387701233E-3</v>
      </c>
      <c r="D753">
        <f t="shared" si="56"/>
        <v>1.3393368172203559</v>
      </c>
      <c r="E753">
        <f t="shared" si="57"/>
        <v>1.3594935921363698</v>
      </c>
      <c r="F753">
        <f t="shared" si="58"/>
        <v>-1.4826678869694798E-2</v>
      </c>
      <c r="G753">
        <f t="shared" si="59"/>
        <v>0.15006453917931575</v>
      </c>
      <c r="H753" s="1"/>
    </row>
    <row r="754" spans="1:8" x14ac:dyDescent="0.45">
      <c r="A754" s="1">
        <v>45342</v>
      </c>
      <c r="B754">
        <v>427.32</v>
      </c>
      <c r="C754">
        <f t="shared" si="55"/>
        <v>-7.548133869057283E-3</v>
      </c>
      <c r="D754">
        <f t="shared" si="56"/>
        <v>1.3292273236282195</v>
      </c>
      <c r="E754">
        <f t="shared" si="57"/>
        <v>1.3594935921363698</v>
      </c>
      <c r="F754">
        <f t="shared" si="58"/>
        <v>-2.226289898181022E-2</v>
      </c>
      <c r="G754">
        <f t="shared" si="59"/>
        <v>0.15319753360802738</v>
      </c>
      <c r="H754" s="1"/>
    </row>
    <row r="755" spans="1:8" x14ac:dyDescent="0.45">
      <c r="A755" s="1">
        <v>45343</v>
      </c>
      <c r="B755">
        <v>425.61</v>
      </c>
      <c r="C755">
        <f t="shared" si="55"/>
        <v>-4.0016849199662197E-3</v>
      </c>
      <c r="D755">
        <f t="shared" si="56"/>
        <v>1.3239081746920494</v>
      </c>
      <c r="E755">
        <f t="shared" si="57"/>
        <v>1.3594935921363698</v>
      </c>
      <c r="F755">
        <f t="shared" si="58"/>
        <v>-2.6175494794646204E-2</v>
      </c>
      <c r="G755">
        <f t="shared" si="59"/>
        <v>0.15349729522895017</v>
      </c>
      <c r="H755" s="1"/>
    </row>
    <row r="756" spans="1:8" x14ac:dyDescent="0.45">
      <c r="A756" s="1">
        <v>45344</v>
      </c>
      <c r="B756">
        <v>438.07</v>
      </c>
      <c r="C756">
        <f t="shared" si="55"/>
        <v>2.9275627922276115E-2</v>
      </c>
      <c r="D756">
        <f t="shared" si="56"/>
        <v>1.3626664178175936</v>
      </c>
      <c r="E756">
        <f t="shared" si="57"/>
        <v>1.3626664178175936</v>
      </c>
      <c r="F756">
        <f t="shared" si="58"/>
        <v>0</v>
      </c>
      <c r="G756">
        <f t="shared" si="59"/>
        <v>0.18428548403911008</v>
      </c>
      <c r="H756" s="1"/>
    </row>
    <row r="757" spans="1:8" x14ac:dyDescent="0.45">
      <c r="A757" s="1">
        <v>45345</v>
      </c>
      <c r="B757">
        <v>436.78</v>
      </c>
      <c r="C757">
        <f t="shared" si="55"/>
        <v>-2.9447348597256839E-3</v>
      </c>
      <c r="D757">
        <f t="shared" si="56"/>
        <v>1.3586537265148686</v>
      </c>
      <c r="E757">
        <f t="shared" si="57"/>
        <v>1.3626664178175936</v>
      </c>
      <c r="F757">
        <f t="shared" si="58"/>
        <v>-2.9447348597256839E-3</v>
      </c>
      <c r="G757">
        <f t="shared" si="59"/>
        <v>0.18495566063780661</v>
      </c>
      <c r="H757" s="1"/>
    </row>
    <row r="758" spans="1:8" x14ac:dyDescent="0.45">
      <c r="A758" s="1">
        <v>45348</v>
      </c>
      <c r="B758">
        <v>436.55</v>
      </c>
      <c r="C758">
        <f t="shared" si="55"/>
        <v>-5.2658088740320519E-4</v>
      </c>
      <c r="D758">
        <f t="shared" si="56"/>
        <v>1.3579382854298867</v>
      </c>
      <c r="E758">
        <f t="shared" si="57"/>
        <v>1.3626664178175936</v>
      </c>
      <c r="F758">
        <f t="shared" si="58"/>
        <v>-3.4697651060332513E-3</v>
      </c>
      <c r="G758">
        <f t="shared" si="59"/>
        <v>0.18313526763905888</v>
      </c>
      <c r="H758" s="1"/>
    </row>
    <row r="759" spans="1:8" x14ac:dyDescent="0.45">
      <c r="A759" s="1">
        <v>45349</v>
      </c>
      <c r="B759">
        <v>437.6</v>
      </c>
      <c r="C759">
        <f t="shared" si="55"/>
        <v>2.4052227694422168E-3</v>
      </c>
      <c r="D759">
        <f t="shared" si="56"/>
        <v>1.3612044295135</v>
      </c>
      <c r="E759">
        <f t="shared" si="57"/>
        <v>1.3626664178175936</v>
      </c>
      <c r="F759">
        <f t="shared" si="58"/>
        <v>-1.0728878946287823E-3</v>
      </c>
      <c r="G759">
        <f t="shared" si="59"/>
        <v>0.18029081345974074</v>
      </c>
      <c r="H759" s="1"/>
    </row>
    <row r="760" spans="1:8" x14ac:dyDescent="0.45">
      <c r="A760" s="1">
        <v>45350</v>
      </c>
      <c r="B760">
        <v>435.27</v>
      </c>
      <c r="C760">
        <f t="shared" si="55"/>
        <v>-5.3244972577697336E-3</v>
      </c>
      <c r="D760">
        <f t="shared" si="56"/>
        <v>1.3539567002612913</v>
      </c>
      <c r="E760">
        <f t="shared" si="57"/>
        <v>1.3626664178175936</v>
      </c>
      <c r="F760">
        <f t="shared" si="58"/>
        <v>-6.3916725637456206E-3</v>
      </c>
      <c r="G760">
        <f t="shared" si="59"/>
        <v>0.17958614478500529</v>
      </c>
      <c r="H760" s="1"/>
    </row>
    <row r="761" spans="1:8" x14ac:dyDescent="0.45">
      <c r="A761" s="1">
        <v>45351</v>
      </c>
      <c r="B761">
        <v>439</v>
      </c>
      <c r="C761">
        <f t="shared" si="55"/>
        <v>8.569393709651596E-3</v>
      </c>
      <c r="D761">
        <f t="shared" si="56"/>
        <v>1.3655592882916512</v>
      </c>
      <c r="E761">
        <f t="shared" si="57"/>
        <v>1.3655592882916512</v>
      </c>
      <c r="F761">
        <f t="shared" si="58"/>
        <v>0</v>
      </c>
      <c r="G761">
        <f t="shared" si="59"/>
        <v>0.1634027546565828</v>
      </c>
      <c r="H761" s="1"/>
    </row>
    <row r="762" spans="1:8" x14ac:dyDescent="0.45">
      <c r="A762" s="1">
        <v>45352</v>
      </c>
      <c r="B762">
        <v>445.61</v>
      </c>
      <c r="C762">
        <f t="shared" si="55"/>
        <v>1.5056947608200533E-2</v>
      </c>
      <c r="D762">
        <f t="shared" si="56"/>
        <v>1.3861204429513503</v>
      </c>
      <c r="E762">
        <f t="shared" si="57"/>
        <v>1.3861204429513503</v>
      </c>
      <c r="F762">
        <f t="shared" si="58"/>
        <v>0</v>
      </c>
      <c r="G762">
        <f t="shared" si="59"/>
        <v>0.16623006425469547</v>
      </c>
      <c r="H762" s="1"/>
    </row>
    <row r="763" spans="1:8" x14ac:dyDescent="0.45">
      <c r="A763" s="1">
        <v>45355</v>
      </c>
      <c r="B763">
        <v>444.02</v>
      </c>
      <c r="C763">
        <f t="shared" si="55"/>
        <v>-3.56814254617277E-3</v>
      </c>
      <c r="D763">
        <f t="shared" si="56"/>
        <v>1.3811745676247358</v>
      </c>
      <c r="E763">
        <f t="shared" si="57"/>
        <v>1.3861204429513503</v>
      </c>
      <c r="F763">
        <f t="shared" si="58"/>
        <v>-3.56814254617277E-3</v>
      </c>
      <c r="G763">
        <f t="shared" si="59"/>
        <v>0.15890518063713749</v>
      </c>
      <c r="H763" s="1"/>
    </row>
    <row r="764" spans="1:8" x14ac:dyDescent="0.45">
      <c r="A764" s="1">
        <v>45356</v>
      </c>
      <c r="B764">
        <v>436.05</v>
      </c>
      <c r="C764">
        <f t="shared" si="55"/>
        <v>-1.7949641908022063E-2</v>
      </c>
      <c r="D764">
        <f t="shared" si="56"/>
        <v>1.3563829787234045</v>
      </c>
      <c r="E764">
        <f t="shared" si="57"/>
        <v>1.3861204429513503</v>
      </c>
      <c r="F764">
        <f t="shared" si="58"/>
        <v>-2.1453737573214227E-2</v>
      </c>
      <c r="G764">
        <f t="shared" si="59"/>
        <v>0.17348910232698617</v>
      </c>
      <c r="H764" s="1"/>
    </row>
    <row r="765" spans="1:8" x14ac:dyDescent="0.45">
      <c r="A765" s="1">
        <v>45357</v>
      </c>
      <c r="B765">
        <v>438.79</v>
      </c>
      <c r="C765">
        <f t="shared" si="55"/>
        <v>6.283683063868839E-3</v>
      </c>
      <c r="D765">
        <f t="shared" si="56"/>
        <v>1.3649060594749287</v>
      </c>
      <c r="E765">
        <f t="shared" si="57"/>
        <v>1.3861204429513503</v>
      </c>
      <c r="F765">
        <f t="shared" si="58"/>
        <v>-1.5304862996790902E-2</v>
      </c>
      <c r="G765">
        <f t="shared" si="59"/>
        <v>0.17411861546310273</v>
      </c>
      <c r="H765" s="1"/>
    </row>
    <row r="766" spans="1:8" x14ac:dyDescent="0.45">
      <c r="A766" s="1">
        <v>45358</v>
      </c>
      <c r="B766">
        <v>445.45</v>
      </c>
      <c r="C766">
        <f t="shared" si="55"/>
        <v>1.517810342077075E-2</v>
      </c>
      <c r="D766">
        <f t="shared" si="56"/>
        <v>1.3856227448052758</v>
      </c>
      <c r="E766">
        <f t="shared" si="57"/>
        <v>1.3861204429513503</v>
      </c>
      <c r="F766">
        <f t="shared" si="58"/>
        <v>-3.5905836942617952E-4</v>
      </c>
      <c r="G766">
        <f t="shared" si="59"/>
        <v>0.17826222634040384</v>
      </c>
      <c r="H766" s="1"/>
    </row>
    <row r="767" spans="1:8" x14ac:dyDescent="0.45">
      <c r="A767" s="1">
        <v>45359</v>
      </c>
      <c r="B767">
        <v>439.02</v>
      </c>
      <c r="C767">
        <f t="shared" si="55"/>
        <v>-1.4434841171848678E-2</v>
      </c>
      <c r="D767">
        <f t="shared" si="56"/>
        <v>1.3656215005599106</v>
      </c>
      <c r="E767">
        <f t="shared" si="57"/>
        <v>1.3861204429513503</v>
      </c>
      <c r="F767">
        <f t="shared" si="58"/>
        <v>-1.478871659074088E-2</v>
      </c>
      <c r="G767">
        <f t="shared" si="59"/>
        <v>0.1871059719246943</v>
      </c>
      <c r="H767" s="1"/>
    </row>
    <row r="768" spans="1:8" x14ac:dyDescent="0.45">
      <c r="A768" s="1">
        <v>45362</v>
      </c>
      <c r="B768">
        <v>437.39</v>
      </c>
      <c r="C768">
        <f t="shared" si="55"/>
        <v>-3.7128149059267868E-3</v>
      </c>
      <c r="D768">
        <f t="shared" si="56"/>
        <v>1.3605512006967777</v>
      </c>
      <c r="E768">
        <f t="shared" si="57"/>
        <v>1.3861204429513503</v>
      </c>
      <c r="F768">
        <f t="shared" si="58"/>
        <v>-1.8446623729269973E-2</v>
      </c>
      <c r="G768">
        <f t="shared" si="59"/>
        <v>0.18456780115899327</v>
      </c>
      <c r="H768" s="1"/>
    </row>
    <row r="769" spans="1:8" x14ac:dyDescent="0.45">
      <c r="A769" s="1">
        <v>45363</v>
      </c>
      <c r="B769">
        <v>443.66</v>
      </c>
      <c r="C769">
        <f t="shared" si="55"/>
        <v>1.4335032808248993E-2</v>
      </c>
      <c r="D769">
        <f t="shared" si="56"/>
        <v>1.3800547467960687</v>
      </c>
      <c r="E769">
        <f t="shared" si="57"/>
        <v>1.3861204429513503</v>
      </c>
      <c r="F769">
        <f t="shared" si="58"/>
        <v>-4.3760238773814519E-3</v>
      </c>
      <c r="G769">
        <f t="shared" si="59"/>
        <v>0.19057061636635525</v>
      </c>
      <c r="H769" s="1"/>
    </row>
    <row r="770" spans="1:8" x14ac:dyDescent="0.45">
      <c r="A770" s="1">
        <v>45364</v>
      </c>
      <c r="B770">
        <v>440.25</v>
      </c>
      <c r="C770">
        <f t="shared" si="55"/>
        <v>-7.6860659063247017E-3</v>
      </c>
      <c r="D770">
        <f t="shared" si="56"/>
        <v>1.3694475550578578</v>
      </c>
      <c r="E770">
        <f t="shared" si="57"/>
        <v>1.3861204429513503</v>
      </c>
      <c r="F770">
        <f t="shared" si="58"/>
        <v>-1.2028455375777014E-2</v>
      </c>
      <c r="G770">
        <f t="shared" si="59"/>
        <v>0.18335668764062571</v>
      </c>
      <c r="H770" s="1"/>
    </row>
    <row r="771" spans="1:8" x14ac:dyDescent="0.45">
      <c r="A771" s="1">
        <v>45365</v>
      </c>
      <c r="B771">
        <v>439.14</v>
      </c>
      <c r="C771">
        <f t="shared" si="55"/>
        <v>-2.5212947189097168E-3</v>
      </c>
      <c r="D771">
        <f t="shared" si="56"/>
        <v>1.3659947741694665</v>
      </c>
      <c r="E771">
        <f t="shared" si="57"/>
        <v>1.3861204429513503</v>
      </c>
      <c r="F771">
        <f t="shared" si="58"/>
        <v>-1.4519422813671135E-2</v>
      </c>
      <c r="G771">
        <f t="shared" si="59"/>
        <v>0.18031007671645594</v>
      </c>
      <c r="H771" s="1"/>
    </row>
    <row r="772" spans="1:8" x14ac:dyDescent="0.45">
      <c r="A772" s="1">
        <v>45366</v>
      </c>
      <c r="B772">
        <v>433.92</v>
      </c>
      <c r="C772">
        <f t="shared" ref="C772:C835" si="60">IFERROR((B772/B771)-1,"")</f>
        <v>-1.188686979095499E-2</v>
      </c>
      <c r="D772">
        <f t="shared" ref="D772:D835" si="61">D771*(1+C772)</f>
        <v>1.349757372153789</v>
      </c>
      <c r="E772">
        <f t="shared" ref="E772:E835" si="62">MAX(E771,D772)</f>
        <v>1.3861204429513503</v>
      </c>
      <c r="F772">
        <f t="shared" ref="F772:F835" si="63">D772/E772-1</f>
        <v>-2.6233702116200242E-2</v>
      </c>
      <c r="G772">
        <f t="shared" si="59"/>
        <v>0.18550834228105942</v>
      </c>
      <c r="H772" s="1"/>
    </row>
    <row r="773" spans="1:8" x14ac:dyDescent="0.45">
      <c r="A773" s="1">
        <v>45369</v>
      </c>
      <c r="B773">
        <v>437.48</v>
      </c>
      <c r="C773">
        <f t="shared" si="60"/>
        <v>8.2042772861357083E-3</v>
      </c>
      <c r="D773">
        <f t="shared" si="61"/>
        <v>1.3608311559039445</v>
      </c>
      <c r="E773">
        <f t="shared" si="62"/>
        <v>1.3861204429513503</v>
      </c>
      <c r="F773">
        <f t="shared" si="63"/>
        <v>-1.8244653396467747E-2</v>
      </c>
      <c r="G773">
        <f t="shared" si="59"/>
        <v>0.18444321959662352</v>
      </c>
      <c r="H773" s="1"/>
    </row>
    <row r="774" spans="1:8" x14ac:dyDescent="0.45">
      <c r="A774" s="1">
        <v>45370</v>
      </c>
      <c r="B774">
        <v>438.57</v>
      </c>
      <c r="C774">
        <f t="shared" si="60"/>
        <v>2.4915424705129752E-3</v>
      </c>
      <c r="D774">
        <f t="shared" si="61"/>
        <v>1.3642217245240764</v>
      </c>
      <c r="E774">
        <f t="shared" si="62"/>
        <v>1.3861204429513503</v>
      </c>
      <c r="F774">
        <f t="shared" si="63"/>
        <v>-1.5798568254751899E-2</v>
      </c>
      <c r="G774">
        <f t="shared" si="59"/>
        <v>0.18179676108898657</v>
      </c>
      <c r="H774" s="1"/>
    </row>
    <row r="775" spans="1:8" x14ac:dyDescent="0.45">
      <c r="A775" s="1">
        <v>45371</v>
      </c>
      <c r="B775">
        <v>443.77</v>
      </c>
      <c r="C775">
        <f t="shared" si="60"/>
        <v>1.1856716145655088E-2</v>
      </c>
      <c r="D775">
        <f t="shared" si="61"/>
        <v>1.3803969142714945</v>
      </c>
      <c r="E775">
        <f t="shared" si="62"/>
        <v>1.3861204429513503</v>
      </c>
      <c r="F775">
        <f t="shared" si="63"/>
        <v>-4.1291712484011756E-3</v>
      </c>
      <c r="G775">
        <f t="shared" si="59"/>
        <v>0.18428904475764341</v>
      </c>
      <c r="H775" s="1"/>
    </row>
    <row r="776" spans="1:8" x14ac:dyDescent="0.45">
      <c r="A776" s="1">
        <v>45372</v>
      </c>
      <c r="B776">
        <v>445.87</v>
      </c>
      <c r="C776">
        <f t="shared" si="60"/>
        <v>4.7321810847962276E-3</v>
      </c>
      <c r="D776">
        <f t="shared" si="61"/>
        <v>1.3869292024387212</v>
      </c>
      <c r="E776">
        <f t="shared" si="62"/>
        <v>1.3869292024387212</v>
      </c>
      <c r="F776">
        <f t="shared" si="63"/>
        <v>0</v>
      </c>
      <c r="G776">
        <f t="shared" si="59"/>
        <v>0.15458225978395479</v>
      </c>
      <c r="H776" s="1"/>
    </row>
    <row r="777" spans="1:8" x14ac:dyDescent="0.45">
      <c r="A777" s="1">
        <v>45373</v>
      </c>
      <c r="B777">
        <v>446.38</v>
      </c>
      <c r="C777">
        <f t="shared" si="60"/>
        <v>1.143831161549258E-3</v>
      </c>
      <c r="D777">
        <f t="shared" si="61"/>
        <v>1.3885156152793332</v>
      </c>
      <c r="E777">
        <f t="shared" si="62"/>
        <v>1.3885156152793332</v>
      </c>
      <c r="F777">
        <f t="shared" si="63"/>
        <v>0</v>
      </c>
      <c r="G777">
        <f t="shared" si="59"/>
        <v>0.15390353592254769</v>
      </c>
      <c r="H777" s="1"/>
    </row>
    <row r="778" spans="1:8" x14ac:dyDescent="0.45">
      <c r="A778" s="1">
        <v>45376</v>
      </c>
      <c r="B778">
        <v>444.76</v>
      </c>
      <c r="C778">
        <f t="shared" si="60"/>
        <v>-3.6291948564003418E-3</v>
      </c>
      <c r="D778">
        <f t="shared" si="61"/>
        <v>1.3834764215503299</v>
      </c>
      <c r="E778">
        <f t="shared" si="62"/>
        <v>1.3885156152793332</v>
      </c>
      <c r="F778">
        <f t="shared" si="63"/>
        <v>-3.6291948564003418E-3</v>
      </c>
      <c r="G778">
        <f t="shared" si="59"/>
        <v>0.15473886657620692</v>
      </c>
      <c r="H778" s="1"/>
    </row>
    <row r="779" spans="1:8" x14ac:dyDescent="0.45">
      <c r="A779" s="1">
        <v>45377</v>
      </c>
      <c r="B779">
        <v>443.32</v>
      </c>
      <c r="C779">
        <f t="shared" si="60"/>
        <v>-3.2377012321251897E-3</v>
      </c>
      <c r="D779">
        <f t="shared" si="61"/>
        <v>1.3789971382356603</v>
      </c>
      <c r="E779">
        <f t="shared" si="62"/>
        <v>1.3885156152793332</v>
      </c>
      <c r="F779">
        <f t="shared" si="63"/>
        <v>-6.8551458398673493E-3</v>
      </c>
      <c r="G779">
        <f t="shared" si="59"/>
        <v>0.15534341072703306</v>
      </c>
      <c r="H779" s="1"/>
    </row>
    <row r="780" spans="1:8" x14ac:dyDescent="0.45">
      <c r="A780" s="1">
        <v>45378</v>
      </c>
      <c r="B780">
        <v>444.83</v>
      </c>
      <c r="C780">
        <f t="shared" si="60"/>
        <v>3.4061174772173075E-3</v>
      </c>
      <c r="D780">
        <f t="shared" si="61"/>
        <v>1.3836941644892373</v>
      </c>
      <c r="E780">
        <f t="shared" si="62"/>
        <v>1.3885156152793332</v>
      </c>
      <c r="F780">
        <f t="shared" si="63"/>
        <v>-3.4723777947041068E-3</v>
      </c>
      <c r="G780">
        <f t="shared" si="59"/>
        <v>0.15394130026227817</v>
      </c>
      <c r="H780" s="1"/>
    </row>
    <row r="781" spans="1:8" x14ac:dyDescent="0.45">
      <c r="A781" s="1">
        <v>45379</v>
      </c>
      <c r="B781">
        <v>444.01</v>
      </c>
      <c r="C781">
        <f t="shared" si="60"/>
        <v>-1.8434008497628662E-3</v>
      </c>
      <c r="D781">
        <f t="shared" si="61"/>
        <v>1.381143461490606</v>
      </c>
      <c r="E781">
        <f t="shared" si="62"/>
        <v>1.3885156152793332</v>
      </c>
      <c r="F781">
        <f t="shared" si="63"/>
        <v>-5.3093776602894938E-3</v>
      </c>
      <c r="G781">
        <f t="shared" si="59"/>
        <v>0.15168938351649075</v>
      </c>
      <c r="H781" s="1"/>
    </row>
    <row r="782" spans="1:8" x14ac:dyDescent="0.45">
      <c r="A782" s="1">
        <v>45383</v>
      </c>
      <c r="B782">
        <v>444.95</v>
      </c>
      <c r="C782">
        <f t="shared" si="60"/>
        <v>2.1170694353731534E-3</v>
      </c>
      <c r="D782">
        <f t="shared" si="61"/>
        <v>1.3840674380987932</v>
      </c>
      <c r="E782">
        <f t="shared" si="62"/>
        <v>1.3885156152793332</v>
      </c>
      <c r="F782">
        <f t="shared" si="63"/>
        <v>-3.2035485460818469E-3</v>
      </c>
      <c r="G782">
        <f t="shared" si="59"/>
        <v>0.14198894294724801</v>
      </c>
      <c r="H782" s="1"/>
    </row>
    <row r="783" spans="1:8" x14ac:dyDescent="0.45">
      <c r="A783" s="1">
        <v>45384</v>
      </c>
      <c r="B783">
        <v>441.11</v>
      </c>
      <c r="C783">
        <f t="shared" si="60"/>
        <v>-8.6301831666478757E-3</v>
      </c>
      <c r="D783">
        <f t="shared" si="61"/>
        <v>1.3721226825930075</v>
      </c>
      <c r="E783">
        <f t="shared" si="62"/>
        <v>1.3885156152793332</v>
      </c>
      <c r="F783">
        <f t="shared" si="63"/>
        <v>-1.180608450199383E-2</v>
      </c>
      <c r="G783">
        <f t="shared" si="59"/>
        <v>0.14476879003135257</v>
      </c>
      <c r="H783" s="1"/>
    </row>
    <row r="784" spans="1:8" x14ac:dyDescent="0.45">
      <c r="A784" s="1">
        <v>45385</v>
      </c>
      <c r="B784">
        <v>442.1</v>
      </c>
      <c r="C784">
        <f t="shared" si="60"/>
        <v>2.2443381469474666E-3</v>
      </c>
      <c r="D784">
        <f t="shared" si="61"/>
        <v>1.375202189871843</v>
      </c>
      <c r="E784">
        <f t="shared" si="62"/>
        <v>1.3885156152793332</v>
      </c>
      <c r="F784">
        <f t="shared" si="63"/>
        <v>-9.5882432008601581E-3</v>
      </c>
      <c r="G784">
        <f t="shared" si="59"/>
        <v>0.12898071825293211</v>
      </c>
      <c r="H784" s="1"/>
    </row>
    <row r="785" spans="1:8" x14ac:dyDescent="0.45">
      <c r="A785" s="1">
        <v>45386</v>
      </c>
      <c r="B785">
        <v>435.34</v>
      </c>
      <c r="C785">
        <f t="shared" si="60"/>
        <v>-1.5290658222121833E-2</v>
      </c>
      <c r="D785">
        <f t="shared" si="61"/>
        <v>1.3541744432001992</v>
      </c>
      <c r="E785">
        <f t="shared" si="62"/>
        <v>1.3885156152793332</v>
      </c>
      <c r="F785">
        <f t="shared" si="63"/>
        <v>-2.473229087324702E-2</v>
      </c>
      <c r="G785">
        <f t="shared" si="59"/>
        <v>0.13898559901377289</v>
      </c>
      <c r="H785" s="1"/>
    </row>
    <row r="786" spans="1:8" x14ac:dyDescent="0.45">
      <c r="A786" s="1">
        <v>45387</v>
      </c>
      <c r="B786">
        <v>440.47</v>
      </c>
      <c r="C786">
        <f t="shared" si="60"/>
        <v>1.1783893049111205E-2</v>
      </c>
      <c r="D786">
        <f t="shared" si="61"/>
        <v>1.3701318900087101</v>
      </c>
      <c r="E786">
        <f t="shared" si="62"/>
        <v>1.3885156152793332</v>
      </c>
      <c r="F786">
        <f t="shared" si="63"/>
        <v>-1.323984049464566E-2</v>
      </c>
      <c r="G786">
        <f t="shared" si="59"/>
        <v>0.13439989929157636</v>
      </c>
      <c r="H786" s="1"/>
    </row>
    <row r="787" spans="1:8" x14ac:dyDescent="0.45">
      <c r="A787" s="1">
        <v>45390</v>
      </c>
      <c r="B787">
        <v>440.6</v>
      </c>
      <c r="C787">
        <f t="shared" si="60"/>
        <v>2.9513928303859238E-4</v>
      </c>
      <c r="D787">
        <f t="shared" si="61"/>
        <v>1.3705362697523955</v>
      </c>
      <c r="E787">
        <f t="shared" si="62"/>
        <v>1.3885156152793332</v>
      </c>
      <c r="F787">
        <f t="shared" si="63"/>
        <v>-1.294860880863824E-2</v>
      </c>
      <c r="G787">
        <f t="shared" si="59"/>
        <v>0.12394876444159471</v>
      </c>
      <c r="H787" s="1"/>
    </row>
    <row r="788" spans="1:8" x14ac:dyDescent="0.45">
      <c r="A788" s="1">
        <v>45391</v>
      </c>
      <c r="B788">
        <v>442.23</v>
      </c>
      <c r="C788">
        <f t="shared" si="60"/>
        <v>3.6995006808897557E-3</v>
      </c>
      <c r="D788">
        <f t="shared" si="61"/>
        <v>1.3756065696155286</v>
      </c>
      <c r="E788">
        <f t="shared" si="62"/>
        <v>1.3885156152793332</v>
      </c>
      <c r="F788">
        <f t="shared" si="63"/>
        <v>-9.2970115148526267E-3</v>
      </c>
      <c r="G788">
        <f t="shared" si="59"/>
        <v>0.12363064745774588</v>
      </c>
      <c r="H788" s="1"/>
    </row>
    <row r="789" spans="1:8" x14ac:dyDescent="0.45">
      <c r="A789" s="1">
        <v>45392</v>
      </c>
      <c r="B789">
        <v>438.37</v>
      </c>
      <c r="C789">
        <f t="shared" si="60"/>
        <v>-8.7284896999298978E-3</v>
      </c>
      <c r="D789">
        <f t="shared" si="61"/>
        <v>1.3635996018414835</v>
      </c>
      <c r="E789">
        <f t="shared" si="62"/>
        <v>1.3885156152793332</v>
      </c>
      <c r="F789">
        <f t="shared" si="63"/>
        <v>-1.7944352345535042E-2</v>
      </c>
      <c r="G789">
        <f t="shared" si="59"/>
        <v>0.11649518841567755</v>
      </c>
      <c r="H789" s="1"/>
    </row>
    <row r="790" spans="1:8" x14ac:dyDescent="0.45">
      <c r="A790" s="1">
        <v>45393</v>
      </c>
      <c r="B790">
        <v>445.37</v>
      </c>
      <c r="C790">
        <f t="shared" si="60"/>
        <v>1.5968246002235453E-2</v>
      </c>
      <c r="D790">
        <f t="shared" si="61"/>
        <v>1.3853738957322386</v>
      </c>
      <c r="E790">
        <f t="shared" si="62"/>
        <v>1.3885156152793332</v>
      </c>
      <c r="F790">
        <f t="shared" si="63"/>
        <v>-2.2626461759038818E-3</v>
      </c>
      <c r="G790">
        <f t="shared" ref="G790:G853" si="64">_xlfn.STDEV.S(C771:C790)*SQRT(252)</f>
        <v>0.12711644153188673</v>
      </c>
      <c r="H790" s="1"/>
    </row>
    <row r="791" spans="1:8" x14ac:dyDescent="0.45">
      <c r="A791" s="1">
        <v>45394</v>
      </c>
      <c r="B791">
        <v>438.27</v>
      </c>
      <c r="C791">
        <f t="shared" si="60"/>
        <v>-1.5941801199003125E-2</v>
      </c>
      <c r="D791">
        <f t="shared" si="61"/>
        <v>1.3632885405001867</v>
      </c>
      <c r="E791">
        <f t="shared" si="62"/>
        <v>1.3885156152793332</v>
      </c>
      <c r="F791">
        <f t="shared" si="63"/>
        <v>-1.8168376719387092E-2</v>
      </c>
      <c r="G791">
        <f t="shared" si="64"/>
        <v>0.13979364060119648</v>
      </c>
      <c r="H791" s="1"/>
    </row>
    <row r="792" spans="1:8" x14ac:dyDescent="0.45">
      <c r="A792" s="1">
        <v>45397</v>
      </c>
      <c r="B792">
        <v>431.06</v>
      </c>
      <c r="C792">
        <f t="shared" si="60"/>
        <v>-1.6451046158760585E-2</v>
      </c>
      <c r="D792">
        <f t="shared" si="61"/>
        <v>1.3408610177927087</v>
      </c>
      <c r="E792">
        <f t="shared" si="62"/>
        <v>1.3885156152793332</v>
      </c>
      <c r="F792">
        <f t="shared" si="63"/>
        <v>-3.4320534074107401E-2</v>
      </c>
      <c r="G792">
        <f t="shared" si="64"/>
        <v>0.14572698695461619</v>
      </c>
      <c r="H792" s="1"/>
    </row>
    <row r="793" spans="1:8" x14ac:dyDescent="0.45">
      <c r="A793" s="1">
        <v>45398</v>
      </c>
      <c r="B793">
        <v>431.1</v>
      </c>
      <c r="C793">
        <f t="shared" si="60"/>
        <v>9.2794506565185841E-5</v>
      </c>
      <c r="D793">
        <f t="shared" si="61"/>
        <v>1.3409854423292273</v>
      </c>
      <c r="E793">
        <f t="shared" si="62"/>
        <v>1.3885156152793332</v>
      </c>
      <c r="F793">
        <f t="shared" si="63"/>
        <v>-3.4230924324566536E-2</v>
      </c>
      <c r="G793">
        <f t="shared" si="64"/>
        <v>0.14225887726348596</v>
      </c>
      <c r="H793" s="1"/>
    </row>
    <row r="794" spans="1:8" x14ac:dyDescent="0.45">
      <c r="A794" s="1">
        <v>45399</v>
      </c>
      <c r="B794">
        <v>425.84</v>
      </c>
      <c r="C794">
        <f t="shared" si="60"/>
        <v>-1.2201345395499996E-2</v>
      </c>
      <c r="D794">
        <f t="shared" si="61"/>
        <v>1.324623615777031</v>
      </c>
      <c r="E794">
        <f t="shared" si="62"/>
        <v>1.3885156152793332</v>
      </c>
      <c r="F794">
        <f t="shared" si="63"/>
        <v>-4.6014606389175317E-2</v>
      </c>
      <c r="G794">
        <f t="shared" si="64"/>
        <v>0.14736121518024733</v>
      </c>
      <c r="H794" s="1"/>
    </row>
    <row r="795" spans="1:8" x14ac:dyDescent="0.45">
      <c r="A795" s="1">
        <v>45400</v>
      </c>
      <c r="B795">
        <v>423.41</v>
      </c>
      <c r="C795">
        <f t="shared" si="60"/>
        <v>-5.7063685891413085E-3</v>
      </c>
      <c r="D795">
        <f t="shared" si="61"/>
        <v>1.3170648251835262</v>
      </c>
      <c r="E795">
        <f t="shared" si="62"/>
        <v>1.3885156152793332</v>
      </c>
      <c r="F795">
        <f t="shared" si="63"/>
        <v>-5.1458398673775774E-2</v>
      </c>
      <c r="G795">
        <f t="shared" si="64"/>
        <v>0.13932535561350048</v>
      </c>
      <c r="H795" s="1"/>
    </row>
    <row r="796" spans="1:8" x14ac:dyDescent="0.45">
      <c r="A796" s="1">
        <v>45401</v>
      </c>
      <c r="B796">
        <v>414.65</v>
      </c>
      <c r="C796">
        <f t="shared" si="60"/>
        <v>-2.0689166528896408E-2</v>
      </c>
      <c r="D796">
        <f t="shared" si="61"/>
        <v>1.2898158516859524</v>
      </c>
      <c r="E796">
        <f t="shared" si="62"/>
        <v>1.3885156152793332</v>
      </c>
      <c r="F796">
        <f t="shared" si="63"/>
        <v>-7.1082933823200078E-2</v>
      </c>
      <c r="G796">
        <f t="shared" si="64"/>
        <v>0.15101730511803371</v>
      </c>
      <c r="H796" s="1"/>
    </row>
    <row r="797" spans="1:8" x14ac:dyDescent="0.45">
      <c r="A797" s="1">
        <v>45404</v>
      </c>
      <c r="B797">
        <v>418.82</v>
      </c>
      <c r="C797">
        <f t="shared" si="60"/>
        <v>1.0056674303629665E-2</v>
      </c>
      <c r="D797">
        <f t="shared" si="61"/>
        <v>1.3027871096180166</v>
      </c>
      <c r="E797">
        <f t="shared" si="62"/>
        <v>1.3885156152793332</v>
      </c>
      <c r="F797">
        <f t="shared" si="63"/>
        <v>-6.1741117433576909E-2</v>
      </c>
      <c r="G797">
        <f t="shared" si="64"/>
        <v>0.15787326451823228</v>
      </c>
      <c r="H797" s="1"/>
    </row>
    <row r="798" spans="1:8" x14ac:dyDescent="0.45">
      <c r="A798" s="1">
        <v>45405</v>
      </c>
      <c r="B798">
        <v>425.07</v>
      </c>
      <c r="C798">
        <f t="shared" si="60"/>
        <v>1.4922878563583319E-2</v>
      </c>
      <c r="D798">
        <f t="shared" si="61"/>
        <v>1.3222284434490479</v>
      </c>
      <c r="E798">
        <f t="shared" si="62"/>
        <v>1.3885156152793332</v>
      </c>
      <c r="F798">
        <f t="shared" si="63"/>
        <v>-4.7739594067834901E-2</v>
      </c>
      <c r="G798">
        <f t="shared" si="64"/>
        <v>0.17034397975626214</v>
      </c>
      <c r="H798" s="1"/>
    </row>
    <row r="799" spans="1:8" x14ac:dyDescent="0.45">
      <c r="A799" s="1">
        <v>45406</v>
      </c>
      <c r="B799">
        <v>426.51</v>
      </c>
      <c r="C799">
        <f t="shared" si="60"/>
        <v>3.3876773237349056E-3</v>
      </c>
      <c r="D799">
        <f t="shared" si="61"/>
        <v>1.3267077267637175</v>
      </c>
      <c r="E799">
        <f t="shared" si="62"/>
        <v>1.3885156152793332</v>
      </c>
      <c r="F799">
        <f t="shared" si="63"/>
        <v>-4.4513643084367893E-2</v>
      </c>
      <c r="G799">
        <f t="shared" si="64"/>
        <v>0.17143207679077566</v>
      </c>
      <c r="H799" s="1"/>
    </row>
    <row r="800" spans="1:8" x14ac:dyDescent="0.45">
      <c r="A800" s="1">
        <v>45407</v>
      </c>
      <c r="B800">
        <v>424.45</v>
      </c>
      <c r="C800">
        <f t="shared" si="60"/>
        <v>-4.8298984783474719E-3</v>
      </c>
      <c r="D800">
        <f t="shared" si="61"/>
        <v>1.3202998631330096</v>
      </c>
      <c r="E800">
        <f t="shared" si="62"/>
        <v>1.3885156152793332</v>
      </c>
      <c r="F800">
        <f t="shared" si="63"/>
        <v>-4.912854518571641E-2</v>
      </c>
      <c r="G800">
        <f t="shared" si="64"/>
        <v>0.17055726003980412</v>
      </c>
      <c r="H800" s="1"/>
    </row>
    <row r="801" spans="1:8" x14ac:dyDescent="0.45">
      <c r="A801" s="1">
        <v>45408</v>
      </c>
      <c r="B801">
        <v>431</v>
      </c>
      <c r="C801">
        <f t="shared" si="60"/>
        <v>1.5431735186712148E-2</v>
      </c>
      <c r="D801">
        <f t="shared" si="61"/>
        <v>1.3406743809879305</v>
      </c>
      <c r="E801">
        <f t="shared" si="62"/>
        <v>1.3885156152793332</v>
      </c>
      <c r="F801">
        <f t="shared" si="63"/>
        <v>-3.4454948698418697E-2</v>
      </c>
      <c r="G801">
        <f t="shared" si="64"/>
        <v>0.18180586754725878</v>
      </c>
      <c r="H801" s="1"/>
    </row>
    <row r="802" spans="1:8" x14ac:dyDescent="0.45">
      <c r="A802" s="1">
        <v>45411</v>
      </c>
      <c r="B802">
        <v>432.75</v>
      </c>
      <c r="C802">
        <f t="shared" si="60"/>
        <v>4.0603248259860614E-3</v>
      </c>
      <c r="D802">
        <f t="shared" si="61"/>
        <v>1.3461179544606192</v>
      </c>
      <c r="E802">
        <f t="shared" si="62"/>
        <v>1.3885156152793332</v>
      </c>
      <c r="F802">
        <f t="shared" si="63"/>
        <v>-3.0534522156010935E-2</v>
      </c>
      <c r="G802">
        <f t="shared" si="64"/>
        <v>0.18243754750389723</v>
      </c>
      <c r="H802" s="1"/>
    </row>
    <row r="803" spans="1:8" x14ac:dyDescent="0.45">
      <c r="A803" s="1">
        <v>45412</v>
      </c>
      <c r="B803">
        <v>424.59</v>
      </c>
      <c r="C803">
        <f t="shared" si="60"/>
        <v>-1.8856152512998325E-2</v>
      </c>
      <c r="D803">
        <f t="shared" si="61"/>
        <v>1.3207353490108245</v>
      </c>
      <c r="E803">
        <f t="shared" si="62"/>
        <v>1.3885156152793332</v>
      </c>
      <c r="F803">
        <f t="shared" si="63"/>
        <v>-4.8814911062324051E-2</v>
      </c>
      <c r="G803">
        <f t="shared" si="64"/>
        <v>0.19126495048134218</v>
      </c>
      <c r="H803" s="1"/>
    </row>
    <row r="804" spans="1:8" x14ac:dyDescent="0.45">
      <c r="A804" s="1">
        <v>45413</v>
      </c>
      <c r="B804">
        <v>421.52</v>
      </c>
      <c r="C804">
        <f t="shared" si="60"/>
        <v>-7.2305047222025465E-3</v>
      </c>
      <c r="D804">
        <f t="shared" si="61"/>
        <v>1.3111857658330219</v>
      </c>
      <c r="E804">
        <f t="shared" si="62"/>
        <v>1.3885156152793332</v>
      </c>
      <c r="F804">
        <f t="shared" si="63"/>
        <v>-5.569245933957645E-2</v>
      </c>
      <c r="G804">
        <f t="shared" si="64"/>
        <v>0.19153980178320409</v>
      </c>
      <c r="H804" s="1"/>
    </row>
    <row r="805" spans="1:8" x14ac:dyDescent="0.45">
      <c r="A805" s="1">
        <v>45414</v>
      </c>
      <c r="B805">
        <v>426.9</v>
      </c>
      <c r="C805">
        <f t="shared" si="60"/>
        <v>1.2763332700702179E-2</v>
      </c>
      <c r="D805">
        <f t="shared" si="61"/>
        <v>1.3279208659947739</v>
      </c>
      <c r="E805">
        <f t="shared" si="62"/>
        <v>1.3885156152793332</v>
      </c>
      <c r="F805">
        <f t="shared" si="63"/>
        <v>-4.3639948026345521E-2</v>
      </c>
      <c r="G805">
        <f t="shared" si="64"/>
        <v>0.19221137635065486</v>
      </c>
      <c r="H805" s="1"/>
    </row>
    <row r="806" spans="1:8" x14ac:dyDescent="0.45">
      <c r="A806" s="1">
        <v>45415</v>
      </c>
      <c r="B806">
        <v>435.48</v>
      </c>
      <c r="C806">
        <f t="shared" si="60"/>
        <v>2.0098383696416144E-2</v>
      </c>
      <c r="D806">
        <f t="shared" si="61"/>
        <v>1.354609929078014</v>
      </c>
      <c r="E806">
        <f t="shared" si="62"/>
        <v>1.3885156152793332</v>
      </c>
      <c r="F806">
        <f t="shared" si="63"/>
        <v>-2.441865674985455E-2</v>
      </c>
      <c r="G806">
        <f t="shared" si="64"/>
        <v>0.20153320323981291</v>
      </c>
      <c r="H806" s="1"/>
    </row>
    <row r="807" spans="1:8" x14ac:dyDescent="0.45">
      <c r="A807" s="1">
        <v>45418</v>
      </c>
      <c r="B807">
        <v>440.25</v>
      </c>
      <c r="C807">
        <f t="shared" si="60"/>
        <v>1.0953430697161703E-2</v>
      </c>
      <c r="D807">
        <f t="shared" si="61"/>
        <v>1.3694475550578571</v>
      </c>
      <c r="E807">
        <f t="shared" si="62"/>
        <v>1.3885156152793332</v>
      </c>
      <c r="F807">
        <f t="shared" si="63"/>
        <v>-1.3732694117120303E-2</v>
      </c>
      <c r="G807">
        <f t="shared" si="64"/>
        <v>0.20559616097988637</v>
      </c>
      <c r="H807" s="1"/>
    </row>
    <row r="808" spans="1:8" x14ac:dyDescent="0.45">
      <c r="A808" s="1">
        <v>45419</v>
      </c>
      <c r="B808">
        <v>440.32</v>
      </c>
      <c r="C808">
        <f t="shared" si="60"/>
        <v>1.5900056785911332E-4</v>
      </c>
      <c r="D808">
        <f t="shared" si="61"/>
        <v>1.3696652979967645</v>
      </c>
      <c r="E808">
        <f t="shared" si="62"/>
        <v>1.3885156152793332</v>
      </c>
      <c r="F808">
        <f t="shared" si="63"/>
        <v>-1.3575877055424068E-2</v>
      </c>
      <c r="G808">
        <f t="shared" si="64"/>
        <v>0.20514394442131792</v>
      </c>
      <c r="H808" s="1"/>
    </row>
    <row r="809" spans="1:8" x14ac:dyDescent="0.45">
      <c r="A809" s="1">
        <v>45420</v>
      </c>
      <c r="B809">
        <v>440.06</v>
      </c>
      <c r="C809">
        <f t="shared" si="60"/>
        <v>-5.9047965116276746E-4</v>
      </c>
      <c r="D809">
        <f t="shared" si="61"/>
        <v>1.3688565385093936</v>
      </c>
      <c r="E809">
        <f t="shared" si="62"/>
        <v>1.3885156152793332</v>
      </c>
      <c r="F809">
        <f t="shared" si="63"/>
        <v>-1.4158340427438909E-2</v>
      </c>
      <c r="G809">
        <f t="shared" si="64"/>
        <v>0.20264216444601296</v>
      </c>
      <c r="H809" s="1"/>
    </row>
    <row r="810" spans="1:8" x14ac:dyDescent="0.45">
      <c r="A810" s="1">
        <v>45421</v>
      </c>
      <c r="B810">
        <v>441.02</v>
      </c>
      <c r="C810">
        <f t="shared" si="60"/>
        <v>2.1815207017223948E-3</v>
      </c>
      <c r="D810">
        <f t="shared" si="61"/>
        <v>1.3718427273858398</v>
      </c>
      <c r="E810">
        <f t="shared" si="62"/>
        <v>1.3885156152793332</v>
      </c>
      <c r="F810">
        <f t="shared" si="63"/>
        <v>-1.2007706438461052E-2</v>
      </c>
      <c r="G810">
        <f t="shared" si="64"/>
        <v>0.19421048669655047</v>
      </c>
      <c r="H810" s="1"/>
    </row>
    <row r="811" spans="1:8" x14ac:dyDescent="0.45">
      <c r="A811" s="1">
        <v>45422</v>
      </c>
      <c r="B811">
        <v>442.06</v>
      </c>
      <c r="C811">
        <f t="shared" si="60"/>
        <v>2.3581696975194522E-3</v>
      </c>
      <c r="D811">
        <f t="shared" si="61"/>
        <v>1.3750777653353234</v>
      </c>
      <c r="E811">
        <f t="shared" si="62"/>
        <v>1.3885156152793332</v>
      </c>
      <c r="F811">
        <f t="shared" si="63"/>
        <v>-9.6778529504015776E-3</v>
      </c>
      <c r="G811">
        <f t="shared" si="64"/>
        <v>0.18547853379860454</v>
      </c>
      <c r="H811" s="1"/>
    </row>
    <row r="812" spans="1:8" x14ac:dyDescent="0.45">
      <c r="A812" s="1">
        <v>45425</v>
      </c>
      <c r="B812">
        <v>443.08</v>
      </c>
      <c r="C812">
        <f t="shared" si="60"/>
        <v>2.307379088811512E-3</v>
      </c>
      <c r="D812">
        <f t="shared" si="61"/>
        <v>1.3782505910165479</v>
      </c>
      <c r="E812">
        <f t="shared" si="62"/>
        <v>1.3885156152793332</v>
      </c>
      <c r="F812">
        <f t="shared" si="63"/>
        <v>-7.3928043371124241E-3</v>
      </c>
      <c r="G812">
        <f t="shared" si="64"/>
        <v>0.17436590153817283</v>
      </c>
      <c r="H812" s="1"/>
    </row>
    <row r="813" spans="1:8" x14ac:dyDescent="0.45">
      <c r="A813" s="1">
        <v>45426</v>
      </c>
      <c r="B813">
        <v>445.93</v>
      </c>
      <c r="C813">
        <f t="shared" si="60"/>
        <v>6.4322469982847075E-3</v>
      </c>
      <c r="D813">
        <f t="shared" si="61"/>
        <v>1.3871158392434981</v>
      </c>
      <c r="E813">
        <f t="shared" si="62"/>
        <v>1.3885156152793332</v>
      </c>
      <c r="F813">
        <f t="shared" si="63"/>
        <v>-1.0081096823340019E-3</v>
      </c>
      <c r="G813">
        <f t="shared" si="64"/>
        <v>0.17516961416558555</v>
      </c>
      <c r="H813" s="1"/>
    </row>
    <row r="814" spans="1:8" x14ac:dyDescent="0.45">
      <c r="A814" s="1">
        <v>45427</v>
      </c>
      <c r="B814">
        <v>452.9</v>
      </c>
      <c r="C814">
        <f t="shared" si="60"/>
        <v>1.5630255869755194E-2</v>
      </c>
      <c r="D814">
        <f t="shared" si="61"/>
        <v>1.4087968147318641</v>
      </c>
      <c r="E814">
        <f t="shared" si="62"/>
        <v>1.4087968147318641</v>
      </c>
      <c r="F814">
        <f t="shared" si="63"/>
        <v>0</v>
      </c>
      <c r="G814">
        <f t="shared" si="64"/>
        <v>0.17362069301574787</v>
      </c>
      <c r="H814" s="1"/>
    </row>
    <row r="815" spans="1:8" x14ac:dyDescent="0.45">
      <c r="A815" s="1">
        <v>45428</v>
      </c>
      <c r="B815">
        <v>451.98</v>
      </c>
      <c r="C815">
        <f t="shared" si="60"/>
        <v>-2.0313534996687643E-3</v>
      </c>
      <c r="D815">
        <f t="shared" si="61"/>
        <v>1.4059350503919363</v>
      </c>
      <c r="E815">
        <f t="shared" si="62"/>
        <v>1.4087968147318641</v>
      </c>
      <c r="F815">
        <f t="shared" si="63"/>
        <v>-2.0313534996687643E-3</v>
      </c>
      <c r="G815">
        <f t="shared" si="64"/>
        <v>0.17161507918664812</v>
      </c>
      <c r="H815" s="1"/>
    </row>
    <row r="816" spans="1:8" x14ac:dyDescent="0.45">
      <c r="A816" s="1">
        <v>45429</v>
      </c>
      <c r="B816">
        <v>451.76</v>
      </c>
      <c r="C816">
        <f t="shared" si="60"/>
        <v>-4.8674720120367443E-4</v>
      </c>
      <c r="D816">
        <f t="shared" si="61"/>
        <v>1.4052507154410838</v>
      </c>
      <c r="E816">
        <f t="shared" si="62"/>
        <v>1.4087968147318641</v>
      </c>
      <c r="F816">
        <f t="shared" si="63"/>
        <v>-2.5171119452418456E-3</v>
      </c>
      <c r="G816">
        <f t="shared" si="64"/>
        <v>0.14739323934924642</v>
      </c>
      <c r="H816" s="1"/>
    </row>
    <row r="817" spans="1:8" x14ac:dyDescent="0.45">
      <c r="A817" s="1">
        <v>45432</v>
      </c>
      <c r="B817">
        <v>454.91</v>
      </c>
      <c r="C817">
        <f t="shared" si="60"/>
        <v>6.9727288825927047E-3</v>
      </c>
      <c r="D817">
        <f t="shared" si="61"/>
        <v>1.415049147691924</v>
      </c>
      <c r="E817">
        <f t="shared" si="62"/>
        <v>1.415049147691924</v>
      </c>
      <c r="F817">
        <f t="shared" si="63"/>
        <v>0</v>
      </c>
      <c r="G817">
        <f t="shared" si="64"/>
        <v>0.14620741961590511</v>
      </c>
      <c r="H817" s="1"/>
    </row>
    <row r="818" spans="1:8" x14ac:dyDescent="0.45">
      <c r="A818" s="1">
        <v>45433</v>
      </c>
      <c r="B818">
        <v>455.8</v>
      </c>
      <c r="C818">
        <f t="shared" si="60"/>
        <v>1.9564309423840687E-3</v>
      </c>
      <c r="D818">
        <f t="shared" si="61"/>
        <v>1.4178175936294628</v>
      </c>
      <c r="E818">
        <f t="shared" si="62"/>
        <v>1.4178175936294628</v>
      </c>
      <c r="F818">
        <f t="shared" si="63"/>
        <v>0</v>
      </c>
      <c r="G818">
        <f t="shared" si="64"/>
        <v>0.14071453370576611</v>
      </c>
      <c r="H818" s="1"/>
    </row>
    <row r="819" spans="1:8" x14ac:dyDescent="0.45">
      <c r="A819" s="1">
        <v>45434</v>
      </c>
      <c r="B819">
        <v>455.71</v>
      </c>
      <c r="C819">
        <f t="shared" si="60"/>
        <v>-1.9745502413348603E-4</v>
      </c>
      <c r="D819">
        <f t="shared" si="61"/>
        <v>1.4175376384222957</v>
      </c>
      <c r="E819">
        <f t="shared" si="62"/>
        <v>1.4178175936294628</v>
      </c>
      <c r="F819">
        <f t="shared" si="63"/>
        <v>-1.9745502413348603E-4</v>
      </c>
      <c r="G819">
        <f t="shared" si="64"/>
        <v>0.14133784276843889</v>
      </c>
      <c r="H819" s="1"/>
    </row>
    <row r="820" spans="1:8" x14ac:dyDescent="0.45">
      <c r="A820" s="1">
        <v>45435</v>
      </c>
      <c r="B820">
        <v>453.66</v>
      </c>
      <c r="C820">
        <f t="shared" si="60"/>
        <v>-4.4984749072873864E-3</v>
      </c>
      <c r="D820">
        <f t="shared" si="61"/>
        <v>1.4111608809257177</v>
      </c>
      <c r="E820">
        <f t="shared" si="62"/>
        <v>1.4178175936294628</v>
      </c>
      <c r="F820">
        <f t="shared" si="63"/>
        <v>-4.6950416849494969E-3</v>
      </c>
      <c r="G820">
        <f t="shared" si="64"/>
        <v>0.14108798838274153</v>
      </c>
      <c r="H820" s="1"/>
    </row>
    <row r="821" spans="1:8" x14ac:dyDescent="0.45">
      <c r="A821" s="1">
        <v>45436</v>
      </c>
      <c r="B821">
        <v>457.95</v>
      </c>
      <c r="C821">
        <f t="shared" si="60"/>
        <v>9.4564211083190131E-3</v>
      </c>
      <c r="D821">
        <f t="shared" si="61"/>
        <v>1.4245054124673378</v>
      </c>
      <c r="E821">
        <f t="shared" si="62"/>
        <v>1.4245054124673378</v>
      </c>
      <c r="F821">
        <f t="shared" si="63"/>
        <v>0</v>
      </c>
      <c r="G821">
        <f t="shared" si="64"/>
        <v>0.13580862544799924</v>
      </c>
      <c r="H821" s="1"/>
    </row>
    <row r="822" spans="1:8" x14ac:dyDescent="0.45">
      <c r="A822" s="1">
        <v>45440</v>
      </c>
      <c r="B822">
        <v>459.68</v>
      </c>
      <c r="C822">
        <f t="shared" si="60"/>
        <v>3.777704989627706E-3</v>
      </c>
      <c r="D822">
        <f t="shared" si="61"/>
        <v>1.4298867736717673</v>
      </c>
      <c r="E822">
        <f t="shared" si="62"/>
        <v>1.4298867736717673</v>
      </c>
      <c r="F822">
        <f t="shared" si="63"/>
        <v>0</v>
      </c>
      <c r="G822">
        <f t="shared" si="64"/>
        <v>0.13578504794108448</v>
      </c>
      <c r="H822" s="1"/>
    </row>
    <row r="823" spans="1:8" x14ac:dyDescent="0.45">
      <c r="A823" s="1">
        <v>45441</v>
      </c>
      <c r="B823">
        <v>456.44</v>
      </c>
      <c r="C823">
        <f t="shared" si="60"/>
        <v>-7.0483814827706492E-3</v>
      </c>
      <c r="D823">
        <f t="shared" si="61"/>
        <v>1.4198083862137605</v>
      </c>
      <c r="E823">
        <f t="shared" si="62"/>
        <v>1.4298867736717673</v>
      </c>
      <c r="F823">
        <f t="shared" si="63"/>
        <v>-7.0483814827706492E-3</v>
      </c>
      <c r="G823">
        <f t="shared" si="64"/>
        <v>0.11545779422546749</v>
      </c>
      <c r="H823" s="1"/>
    </row>
    <row r="824" spans="1:8" x14ac:dyDescent="0.45">
      <c r="A824" s="1">
        <v>45442</v>
      </c>
      <c r="B824">
        <v>451.55</v>
      </c>
      <c r="C824">
        <f t="shared" si="60"/>
        <v>-1.0713346770659826E-2</v>
      </c>
      <c r="D824">
        <f t="shared" si="61"/>
        <v>1.4045974866243616</v>
      </c>
      <c r="E824">
        <f t="shared" si="62"/>
        <v>1.4298867736717673</v>
      </c>
      <c r="F824">
        <f t="shared" si="63"/>
        <v>-1.7686216498433716E-2</v>
      </c>
      <c r="G824">
        <f t="shared" si="64"/>
        <v>0.12036773391023306</v>
      </c>
      <c r="H824" s="1"/>
    </row>
    <row r="825" spans="1:8" x14ac:dyDescent="0.45">
      <c r="A825" s="1">
        <v>45443</v>
      </c>
      <c r="B825">
        <v>450.71</v>
      </c>
      <c r="C825">
        <f t="shared" si="60"/>
        <v>-1.8602591075186359E-3</v>
      </c>
      <c r="D825">
        <f t="shared" si="61"/>
        <v>1.4019845713574708</v>
      </c>
      <c r="E825">
        <f t="shared" si="62"/>
        <v>1.4298867736717673</v>
      </c>
      <c r="F825">
        <f t="shared" si="63"/>
        <v>-1.9513574660633637E-2</v>
      </c>
      <c r="G825">
        <f t="shared" si="64"/>
        <v>0.11653104299365002</v>
      </c>
      <c r="H825" s="1"/>
    </row>
    <row r="826" spans="1:8" x14ac:dyDescent="0.45">
      <c r="A826" s="1">
        <v>45446</v>
      </c>
      <c r="B826">
        <v>453.13</v>
      </c>
      <c r="C826">
        <f t="shared" si="60"/>
        <v>5.3693062057642571E-3</v>
      </c>
      <c r="D826">
        <f t="shared" si="61"/>
        <v>1.4095122558168462</v>
      </c>
      <c r="E826">
        <f t="shared" si="62"/>
        <v>1.4298867736717673</v>
      </c>
      <c r="F826">
        <f t="shared" si="63"/>
        <v>-1.4249042812391255E-2</v>
      </c>
      <c r="G826">
        <f t="shared" si="64"/>
        <v>9.7632243035593605E-2</v>
      </c>
      <c r="H826" s="1"/>
    </row>
    <row r="827" spans="1:8" x14ac:dyDescent="0.45">
      <c r="A827" s="1">
        <v>45447</v>
      </c>
      <c r="B827">
        <v>454.37</v>
      </c>
      <c r="C827">
        <f t="shared" si="60"/>
        <v>2.7365215280383826E-3</v>
      </c>
      <c r="D827">
        <f t="shared" si="61"/>
        <v>1.413369416448923</v>
      </c>
      <c r="E827">
        <f t="shared" si="62"/>
        <v>1.4298867736717673</v>
      </c>
      <c r="F827">
        <f t="shared" si="63"/>
        <v>-1.1551514096762916E-2</v>
      </c>
      <c r="G827">
        <f t="shared" si="64"/>
        <v>9.1829429564819778E-2</v>
      </c>
      <c r="H827" s="1"/>
    </row>
    <row r="828" spans="1:8" x14ac:dyDescent="0.45">
      <c r="A828" s="1">
        <v>45448</v>
      </c>
      <c r="B828">
        <v>463.53</v>
      </c>
      <c r="C828">
        <f t="shared" si="60"/>
        <v>2.0159781675726851E-2</v>
      </c>
      <c r="D828">
        <f t="shared" si="61"/>
        <v>1.4418626353116828</v>
      </c>
      <c r="E828">
        <f t="shared" si="62"/>
        <v>1.4418626353116828</v>
      </c>
      <c r="F828">
        <f t="shared" si="63"/>
        <v>0</v>
      </c>
      <c r="G828">
        <f t="shared" si="64"/>
        <v>0.11274251977586086</v>
      </c>
      <c r="H828" s="1"/>
    </row>
    <row r="829" spans="1:8" x14ac:dyDescent="0.45">
      <c r="A829" s="1">
        <v>45449</v>
      </c>
      <c r="B829">
        <v>463.37</v>
      </c>
      <c r="C829">
        <f t="shared" si="60"/>
        <v>-3.4517722693239161E-4</v>
      </c>
      <c r="D829">
        <f t="shared" si="61"/>
        <v>1.4413649371656085</v>
      </c>
      <c r="E829">
        <f t="shared" si="62"/>
        <v>1.4418626353116828</v>
      </c>
      <c r="F829">
        <f t="shared" si="63"/>
        <v>-3.4517722693239161E-4</v>
      </c>
      <c r="G829">
        <f t="shared" si="64"/>
        <v>0.11265390465998661</v>
      </c>
      <c r="H829" s="1"/>
    </row>
    <row r="830" spans="1:8" x14ac:dyDescent="0.45">
      <c r="A830" s="1">
        <v>45450</v>
      </c>
      <c r="B830">
        <v>462.96</v>
      </c>
      <c r="C830">
        <f t="shared" si="60"/>
        <v>-8.848220644409599E-4</v>
      </c>
      <c r="D830">
        <f t="shared" si="61"/>
        <v>1.4400895856662927</v>
      </c>
      <c r="E830">
        <f t="shared" si="62"/>
        <v>1.4418626353116828</v>
      </c>
      <c r="F830">
        <f t="shared" si="63"/>
        <v>-1.2296938709468463E-3</v>
      </c>
      <c r="G830">
        <f t="shared" si="64"/>
        <v>0.11333159937575686</v>
      </c>
      <c r="H830" s="1"/>
    </row>
    <row r="831" spans="1:8" x14ac:dyDescent="0.45">
      <c r="A831" s="1">
        <v>45453</v>
      </c>
      <c r="B831">
        <v>464.83</v>
      </c>
      <c r="C831">
        <f t="shared" si="60"/>
        <v>4.039225851045547E-3</v>
      </c>
      <c r="D831">
        <f t="shared" si="61"/>
        <v>1.4459064327485376</v>
      </c>
      <c r="E831">
        <f t="shared" si="62"/>
        <v>1.4459064327485376</v>
      </c>
      <c r="F831">
        <f t="shared" si="63"/>
        <v>0</v>
      </c>
      <c r="G831">
        <f t="shared" si="64"/>
        <v>0.11346964672945227</v>
      </c>
      <c r="H831" s="1"/>
    </row>
    <row r="832" spans="1:8" x14ac:dyDescent="0.45">
      <c r="A832" s="1">
        <v>45454</v>
      </c>
      <c r="B832">
        <v>468.02</v>
      </c>
      <c r="C832">
        <f t="shared" si="60"/>
        <v>6.8627240066261308E-3</v>
      </c>
      <c r="D832">
        <f t="shared" si="61"/>
        <v>1.4558292895358962</v>
      </c>
      <c r="E832">
        <f t="shared" si="62"/>
        <v>1.4558292895358962</v>
      </c>
      <c r="F832">
        <f t="shared" si="63"/>
        <v>0</v>
      </c>
      <c r="G832">
        <f t="shared" si="64"/>
        <v>0.11449404173512258</v>
      </c>
      <c r="H832" s="1"/>
    </row>
    <row r="833" spans="1:8" x14ac:dyDescent="0.45">
      <c r="A833" s="1">
        <v>45455</v>
      </c>
      <c r="B833">
        <v>474.15</v>
      </c>
      <c r="C833">
        <f t="shared" si="60"/>
        <v>1.3097730866202362E-2</v>
      </c>
      <c r="D833">
        <f t="shared" si="61"/>
        <v>1.4748973497573719</v>
      </c>
      <c r="E833">
        <f t="shared" si="62"/>
        <v>1.4748973497573719</v>
      </c>
      <c r="F833">
        <f t="shared" si="63"/>
        <v>0</v>
      </c>
      <c r="G833">
        <f t="shared" si="64"/>
        <v>0.11965305637687546</v>
      </c>
      <c r="H833" s="1"/>
    </row>
    <row r="834" spans="1:8" x14ac:dyDescent="0.45">
      <c r="A834" s="1">
        <v>45456</v>
      </c>
      <c r="B834">
        <v>476.72</v>
      </c>
      <c r="C834">
        <f t="shared" si="60"/>
        <v>5.4202256669830806E-3</v>
      </c>
      <c r="D834">
        <f t="shared" si="61"/>
        <v>1.4828916262286922</v>
      </c>
      <c r="E834">
        <f t="shared" si="62"/>
        <v>1.4828916262286922</v>
      </c>
      <c r="F834">
        <f t="shared" si="63"/>
        <v>0</v>
      </c>
      <c r="G834">
        <f t="shared" si="64"/>
        <v>0.11061923263599795</v>
      </c>
      <c r="H834" s="1"/>
    </row>
    <row r="835" spans="1:8" x14ac:dyDescent="0.45">
      <c r="A835" s="1">
        <v>45457</v>
      </c>
      <c r="B835">
        <v>479.19</v>
      </c>
      <c r="C835">
        <f t="shared" si="60"/>
        <v>5.1812384628293628E-3</v>
      </c>
      <c r="D835">
        <f t="shared" si="61"/>
        <v>1.4905748413587159</v>
      </c>
      <c r="E835">
        <f t="shared" si="62"/>
        <v>1.4905748413587159</v>
      </c>
      <c r="F835">
        <f t="shared" si="63"/>
        <v>0</v>
      </c>
      <c r="G835">
        <f t="shared" si="64"/>
        <v>0.10958136935607443</v>
      </c>
      <c r="H835" s="1"/>
    </row>
    <row r="836" spans="1:8" x14ac:dyDescent="0.45">
      <c r="A836" s="1">
        <v>45460</v>
      </c>
      <c r="B836">
        <v>485.06</v>
      </c>
      <c r="C836">
        <f t="shared" ref="C836:C899" si="65">IFERROR((B836/B835)-1,"")</f>
        <v>1.2249838268745261E-2</v>
      </c>
      <c r="D836">
        <f t="shared" ref="D836:D899" si="66">D835*(1+C836)</f>
        <v>1.5088341420928209</v>
      </c>
      <c r="E836">
        <f t="shared" ref="E836:E899" si="67">MAX(E835,D836)</f>
        <v>1.5088341420928209</v>
      </c>
      <c r="F836">
        <f t="shared" ref="F836:F899" si="68">D836/E836-1</f>
        <v>0</v>
      </c>
      <c r="G836">
        <f t="shared" si="64"/>
        <v>0.11353859757704984</v>
      </c>
      <c r="H836" s="1"/>
    </row>
    <row r="837" spans="1:8" x14ac:dyDescent="0.45">
      <c r="A837" s="1">
        <v>45461</v>
      </c>
      <c r="B837">
        <v>485.21</v>
      </c>
      <c r="C837">
        <f t="shared" si="65"/>
        <v>3.092400940090112E-4</v>
      </c>
      <c r="D837">
        <f t="shared" si="66"/>
        <v>1.5093007341047657</v>
      </c>
      <c r="E837">
        <f t="shared" si="67"/>
        <v>1.5093007341047657</v>
      </c>
      <c r="F837">
        <f t="shared" si="68"/>
        <v>0</v>
      </c>
      <c r="G837">
        <f t="shared" si="64"/>
        <v>0.11336646033142021</v>
      </c>
      <c r="H837" s="1"/>
    </row>
    <row r="838" spans="1:8" x14ac:dyDescent="0.45">
      <c r="A838" s="1">
        <v>45463</v>
      </c>
      <c r="B838">
        <v>481.47</v>
      </c>
      <c r="C838">
        <f t="shared" si="65"/>
        <v>-7.7080027204714519E-3</v>
      </c>
      <c r="D838">
        <f t="shared" si="66"/>
        <v>1.4976670399402767</v>
      </c>
      <c r="E838">
        <f t="shared" si="67"/>
        <v>1.5093007341047657</v>
      </c>
      <c r="F838">
        <f t="shared" si="68"/>
        <v>-7.7080027204713408E-3</v>
      </c>
      <c r="G838">
        <f t="shared" si="64"/>
        <v>0.11983868257926418</v>
      </c>
      <c r="H838" s="1"/>
    </row>
    <row r="839" spans="1:8" x14ac:dyDescent="0.45">
      <c r="A839" s="1">
        <v>45464</v>
      </c>
      <c r="B839">
        <v>480.18</v>
      </c>
      <c r="C839">
        <f t="shared" si="65"/>
        <v>-2.6792946601035261E-3</v>
      </c>
      <c r="D839">
        <f t="shared" si="66"/>
        <v>1.4936543486375518</v>
      </c>
      <c r="E839">
        <f t="shared" si="67"/>
        <v>1.5093007341047657</v>
      </c>
      <c r="F839">
        <f t="shared" si="68"/>
        <v>-1.0366645370045835E-2</v>
      </c>
      <c r="G839">
        <f t="shared" si="64"/>
        <v>0.12097228116079525</v>
      </c>
      <c r="H839" s="1"/>
    </row>
    <row r="840" spans="1:8" x14ac:dyDescent="0.45">
      <c r="A840" s="1">
        <v>45467</v>
      </c>
      <c r="B840">
        <v>473.96</v>
      </c>
      <c r="C840">
        <f t="shared" si="65"/>
        <v>-1.2953475779915902E-2</v>
      </c>
      <c r="D840">
        <f t="shared" si="66"/>
        <v>1.4743063332089092</v>
      </c>
      <c r="E840">
        <f t="shared" si="67"/>
        <v>1.5093007341047657</v>
      </c>
      <c r="F840">
        <f t="shared" si="68"/>
        <v>-2.3185837060241798E-2</v>
      </c>
      <c r="G840">
        <f t="shared" si="64"/>
        <v>0.13090995827718876</v>
      </c>
      <c r="H840" s="1"/>
    </row>
    <row r="841" spans="1:8" x14ac:dyDescent="0.45">
      <c r="A841" s="1">
        <v>45468</v>
      </c>
      <c r="B841">
        <v>479.38</v>
      </c>
      <c r="C841">
        <f t="shared" si="65"/>
        <v>1.1435564182631586E-2</v>
      </c>
      <c r="D841">
        <f t="shared" si="66"/>
        <v>1.49116585790718</v>
      </c>
      <c r="E841">
        <f t="shared" si="67"/>
        <v>1.5093007341047657</v>
      </c>
      <c r="F841">
        <f t="shared" si="68"/>
        <v>-1.2015416005440649E-2</v>
      </c>
      <c r="G841">
        <f t="shared" si="64"/>
        <v>0.13253868360854948</v>
      </c>
      <c r="H841" s="1"/>
    </row>
    <row r="842" spans="1:8" x14ac:dyDescent="0.45">
      <c r="A842" s="1">
        <v>45469</v>
      </c>
      <c r="B842">
        <v>480.37</v>
      </c>
      <c r="C842">
        <f t="shared" si="65"/>
        <v>2.0651675080312071E-3</v>
      </c>
      <c r="D842">
        <f t="shared" si="66"/>
        <v>1.4942453651860155</v>
      </c>
      <c r="E842">
        <f t="shared" si="67"/>
        <v>1.5093007341047657</v>
      </c>
      <c r="F842">
        <f t="shared" si="68"/>
        <v>-9.9750623441392516E-3</v>
      </c>
      <c r="G842">
        <f t="shared" si="64"/>
        <v>0.13242862750195741</v>
      </c>
      <c r="H842" s="1"/>
    </row>
    <row r="843" spans="1:8" x14ac:dyDescent="0.45">
      <c r="A843" s="1">
        <v>45470</v>
      </c>
      <c r="B843">
        <v>481.61</v>
      </c>
      <c r="C843">
        <f t="shared" si="65"/>
        <v>2.5813435476820246E-3</v>
      </c>
      <c r="D843">
        <f t="shared" si="66"/>
        <v>1.4981025258180922</v>
      </c>
      <c r="E843">
        <f t="shared" si="67"/>
        <v>1.5093007341047657</v>
      </c>
      <c r="F843">
        <f t="shared" si="68"/>
        <v>-7.4194678592770513E-3</v>
      </c>
      <c r="G843">
        <f t="shared" si="64"/>
        <v>0.12780442250560009</v>
      </c>
      <c r="H843" s="1"/>
    </row>
    <row r="844" spans="1:8" x14ac:dyDescent="0.45">
      <c r="A844" s="1">
        <v>45471</v>
      </c>
      <c r="B844">
        <v>479.11</v>
      </c>
      <c r="C844">
        <f t="shared" si="65"/>
        <v>-5.190922115404617E-3</v>
      </c>
      <c r="D844">
        <f t="shared" si="66"/>
        <v>1.4903259922856795</v>
      </c>
      <c r="E844">
        <f t="shared" si="67"/>
        <v>1.5093007341047657</v>
      </c>
      <c r="F844">
        <f t="shared" si="68"/>
        <v>-1.2571876094886414E-2</v>
      </c>
      <c r="G844">
        <f t="shared" si="64"/>
        <v>0.12145228117093605</v>
      </c>
      <c r="H844" s="1"/>
    </row>
    <row r="845" spans="1:8" x14ac:dyDescent="0.45">
      <c r="A845" s="1">
        <v>45474</v>
      </c>
      <c r="B845">
        <v>481.92</v>
      </c>
      <c r="C845">
        <f t="shared" si="65"/>
        <v>5.8650414309866505E-3</v>
      </c>
      <c r="D845">
        <f t="shared" si="66"/>
        <v>1.4990668159761114</v>
      </c>
      <c r="E845">
        <f t="shared" si="67"/>
        <v>1.5093007341047657</v>
      </c>
      <c r="F845">
        <f t="shared" si="68"/>
        <v>-6.7805692380614735E-3</v>
      </c>
      <c r="G845">
        <f t="shared" si="64"/>
        <v>0.12044838703567705</v>
      </c>
      <c r="H845" s="1"/>
    </row>
    <row r="846" spans="1:8" x14ac:dyDescent="0.45">
      <c r="A846" s="1">
        <v>45475</v>
      </c>
      <c r="B846">
        <v>486.98</v>
      </c>
      <c r="C846">
        <f t="shared" si="65"/>
        <v>1.0499667994687822E-2</v>
      </c>
      <c r="D846">
        <f t="shared" si="66"/>
        <v>1.5148065198457143</v>
      </c>
      <c r="E846">
        <f t="shared" si="67"/>
        <v>1.5148065198457143</v>
      </c>
      <c r="F846">
        <f t="shared" si="68"/>
        <v>0</v>
      </c>
      <c r="G846">
        <f t="shared" si="64"/>
        <v>0.12292315058160362</v>
      </c>
      <c r="H846" s="1"/>
    </row>
    <row r="847" spans="1:8" x14ac:dyDescent="0.45">
      <c r="A847" s="1">
        <v>45476</v>
      </c>
      <c r="B847">
        <v>491.04</v>
      </c>
      <c r="C847">
        <f t="shared" si="65"/>
        <v>8.3370980327734934E-3</v>
      </c>
      <c r="D847">
        <f t="shared" si="66"/>
        <v>1.5274356103023525</v>
      </c>
      <c r="E847">
        <f t="shared" si="67"/>
        <v>1.5274356103023525</v>
      </c>
      <c r="F847">
        <f t="shared" si="68"/>
        <v>0</v>
      </c>
      <c r="G847">
        <f t="shared" si="64"/>
        <v>0.12398196975287067</v>
      </c>
      <c r="H847" s="1"/>
    </row>
    <row r="848" spans="1:8" x14ac:dyDescent="0.45">
      <c r="A848" s="1">
        <v>45478</v>
      </c>
      <c r="B848">
        <v>496.16</v>
      </c>
      <c r="C848">
        <f t="shared" si="65"/>
        <v>1.0426849136526473E-2</v>
      </c>
      <c r="D848">
        <f t="shared" si="66"/>
        <v>1.5433619509767333</v>
      </c>
      <c r="E848">
        <f t="shared" si="67"/>
        <v>1.5433619509767333</v>
      </c>
      <c r="F848">
        <f t="shared" si="68"/>
        <v>0</v>
      </c>
      <c r="G848">
        <f t="shared" si="64"/>
        <v>0.11122774951976182</v>
      </c>
      <c r="H848" s="1"/>
    </row>
    <row r="849" spans="1:8" x14ac:dyDescent="0.45">
      <c r="A849" s="1">
        <v>45481</v>
      </c>
      <c r="B849">
        <v>497.34</v>
      </c>
      <c r="C849">
        <f t="shared" si="65"/>
        <v>2.3782650757819823E-3</v>
      </c>
      <c r="D849">
        <f t="shared" si="66"/>
        <v>1.5470324748040321</v>
      </c>
      <c r="E849">
        <f t="shared" si="67"/>
        <v>1.5470324748040321</v>
      </c>
      <c r="F849">
        <f t="shared" si="68"/>
        <v>0</v>
      </c>
      <c r="G849">
        <f t="shared" si="64"/>
        <v>0.11041877121347815</v>
      </c>
      <c r="H849" s="1"/>
    </row>
    <row r="850" spans="1:8" x14ac:dyDescent="0.45">
      <c r="A850" s="1">
        <v>45482</v>
      </c>
      <c r="B850">
        <v>497.77</v>
      </c>
      <c r="C850">
        <f t="shared" si="65"/>
        <v>8.645996702456582E-4</v>
      </c>
      <c r="D850">
        <f t="shared" si="66"/>
        <v>1.548370038571607</v>
      </c>
      <c r="E850">
        <f t="shared" si="67"/>
        <v>1.548370038571607</v>
      </c>
      <c r="F850">
        <f t="shared" si="68"/>
        <v>0</v>
      </c>
      <c r="G850">
        <f t="shared" si="64"/>
        <v>0.10965534183009328</v>
      </c>
      <c r="H850" s="1"/>
    </row>
    <row r="851" spans="1:8" x14ac:dyDescent="0.45">
      <c r="A851" s="1">
        <v>45483</v>
      </c>
      <c r="B851">
        <v>502.96</v>
      </c>
      <c r="C851">
        <f t="shared" si="65"/>
        <v>1.0426502199811116E-2</v>
      </c>
      <c r="D851">
        <f t="shared" si="66"/>
        <v>1.5645141221848955</v>
      </c>
      <c r="E851">
        <f t="shared" si="67"/>
        <v>1.5645141221848955</v>
      </c>
      <c r="F851">
        <f t="shared" si="68"/>
        <v>0</v>
      </c>
      <c r="G851">
        <f t="shared" si="64"/>
        <v>0.11226571662603836</v>
      </c>
      <c r="H851" s="1"/>
    </row>
    <row r="852" spans="1:8" x14ac:dyDescent="0.45">
      <c r="A852" s="1">
        <v>45484</v>
      </c>
      <c r="B852">
        <v>491.93</v>
      </c>
      <c r="C852">
        <f t="shared" si="65"/>
        <v>-2.1930173373628015E-2</v>
      </c>
      <c r="D852">
        <f t="shared" si="66"/>
        <v>1.5302040562398913</v>
      </c>
      <c r="E852">
        <f t="shared" si="67"/>
        <v>1.5645141221848955</v>
      </c>
      <c r="F852">
        <f t="shared" si="68"/>
        <v>-2.1930173373628015E-2</v>
      </c>
      <c r="G852">
        <f t="shared" si="64"/>
        <v>0.14436986162822529</v>
      </c>
      <c r="H852" s="1"/>
    </row>
    <row r="853" spans="1:8" x14ac:dyDescent="0.45">
      <c r="A853" s="1">
        <v>45485</v>
      </c>
      <c r="B853">
        <v>494.82</v>
      </c>
      <c r="C853">
        <f t="shared" si="65"/>
        <v>5.8748195881528353E-3</v>
      </c>
      <c r="D853">
        <f t="shared" si="66"/>
        <v>1.5391937290033604</v>
      </c>
      <c r="E853">
        <f t="shared" si="67"/>
        <v>1.5645141221848955</v>
      </c>
      <c r="F853">
        <f t="shared" si="68"/>
        <v>-1.6184189597582166E-2</v>
      </c>
      <c r="G853">
        <f t="shared" si="64"/>
        <v>0.13955640279876408</v>
      </c>
      <c r="H853" s="1"/>
    </row>
    <row r="854" spans="1:8" x14ac:dyDescent="0.45">
      <c r="A854" s="1">
        <v>45488</v>
      </c>
      <c r="B854">
        <v>496.15</v>
      </c>
      <c r="C854">
        <f t="shared" si="65"/>
        <v>2.6878460854451447E-3</v>
      </c>
      <c r="D854">
        <f t="shared" si="66"/>
        <v>1.5433308448426037</v>
      </c>
      <c r="E854">
        <f t="shared" si="67"/>
        <v>1.5645141221848955</v>
      </c>
      <c r="F854">
        <f t="shared" si="68"/>
        <v>-1.3539844122792966E-2</v>
      </c>
      <c r="G854">
        <f t="shared" ref="G854:G917" si="69">_xlfn.STDEV.S(C835:C854)*SQRT(252)</f>
        <v>0.13904919222738393</v>
      </c>
      <c r="H854" s="1"/>
    </row>
    <row r="855" spans="1:8" x14ac:dyDescent="0.45">
      <c r="A855" s="1">
        <v>45489</v>
      </c>
      <c r="B855">
        <v>496.34</v>
      </c>
      <c r="C855">
        <f t="shared" si="65"/>
        <v>3.8294870502864065E-4</v>
      </c>
      <c r="D855">
        <f t="shared" si="66"/>
        <v>1.543921861391067</v>
      </c>
      <c r="E855">
        <f t="shared" si="67"/>
        <v>1.5645141221848955</v>
      </c>
      <c r="F855">
        <f t="shared" si="68"/>
        <v>-1.3162080483537397E-2</v>
      </c>
      <c r="G855">
        <f t="shared" si="69"/>
        <v>0.13865227659416673</v>
      </c>
      <c r="H855" s="1"/>
    </row>
    <row r="856" spans="1:8" x14ac:dyDescent="0.45">
      <c r="A856" s="1">
        <v>45490</v>
      </c>
      <c r="B856">
        <v>481.77</v>
      </c>
      <c r="C856">
        <f t="shared" si="65"/>
        <v>-2.9354877704799165E-2</v>
      </c>
      <c r="D856">
        <f t="shared" si="66"/>
        <v>1.4986002239641663</v>
      </c>
      <c r="E856">
        <f t="shared" si="67"/>
        <v>1.5645141221848955</v>
      </c>
      <c r="F856">
        <f t="shared" si="68"/>
        <v>-4.2130586925401725E-2</v>
      </c>
      <c r="G856">
        <f t="shared" si="69"/>
        <v>0.17174851371670982</v>
      </c>
      <c r="H856" s="1"/>
    </row>
    <row r="857" spans="1:8" x14ac:dyDescent="0.45">
      <c r="A857" s="1">
        <v>45491</v>
      </c>
      <c r="B857">
        <v>479.49</v>
      </c>
      <c r="C857">
        <f t="shared" si="65"/>
        <v>-4.7325487265706956E-3</v>
      </c>
      <c r="D857">
        <f t="shared" si="66"/>
        <v>1.4915080253826061</v>
      </c>
      <c r="E857">
        <f t="shared" si="67"/>
        <v>1.5645141221848955</v>
      </c>
      <c r="F857">
        <f t="shared" si="68"/>
        <v>-4.6663750596468878E-2</v>
      </c>
      <c r="G857">
        <f t="shared" si="69"/>
        <v>0.17244850648585697</v>
      </c>
      <c r="H857" s="1"/>
    </row>
    <row r="858" spans="1:8" x14ac:dyDescent="0.45">
      <c r="A858" s="1">
        <v>45492</v>
      </c>
      <c r="B858">
        <v>475.24</v>
      </c>
      <c r="C858">
        <f t="shared" si="65"/>
        <v>-8.8635842249056296E-3</v>
      </c>
      <c r="D858">
        <f t="shared" si="66"/>
        <v>1.4782879183775046</v>
      </c>
      <c r="E858">
        <f t="shared" si="67"/>
        <v>1.5645141221848955</v>
      </c>
      <c r="F858">
        <f t="shared" si="68"/>
        <v>-5.5113726737712754E-2</v>
      </c>
      <c r="G858">
        <f t="shared" si="69"/>
        <v>0.1731333394745356</v>
      </c>
      <c r="H858" s="1"/>
    </row>
    <row r="859" spans="1:8" x14ac:dyDescent="0.45">
      <c r="A859" s="1">
        <v>45495</v>
      </c>
      <c r="B859">
        <v>482.32</v>
      </c>
      <c r="C859">
        <f t="shared" si="65"/>
        <v>1.4897735880817997E-2</v>
      </c>
      <c r="D859">
        <f t="shared" si="66"/>
        <v>1.5003110613412969</v>
      </c>
      <c r="E859">
        <f t="shared" si="67"/>
        <v>1.5645141221848955</v>
      </c>
      <c r="F859">
        <f t="shared" si="68"/>
        <v>-4.1037060601240793E-2</v>
      </c>
      <c r="G859">
        <f t="shared" si="69"/>
        <v>0.18137158619194257</v>
      </c>
      <c r="H859" s="1"/>
    </row>
    <row r="860" spans="1:8" x14ac:dyDescent="0.45">
      <c r="A860" s="1">
        <v>45496</v>
      </c>
      <c r="B860">
        <v>480.62</v>
      </c>
      <c r="C860">
        <f t="shared" si="65"/>
        <v>-3.5246309504063378E-3</v>
      </c>
      <c r="D860">
        <f t="shared" si="66"/>
        <v>1.4950230185392563</v>
      </c>
      <c r="E860">
        <f t="shared" si="67"/>
        <v>1.5645141221848955</v>
      </c>
      <c r="F860">
        <f t="shared" si="68"/>
        <v>-4.4417051057738299E-2</v>
      </c>
      <c r="G860">
        <f t="shared" si="69"/>
        <v>0.17522770819473507</v>
      </c>
      <c r="H860" s="1"/>
    </row>
    <row r="861" spans="1:8" x14ac:dyDescent="0.45">
      <c r="A861" s="1">
        <v>45497</v>
      </c>
      <c r="B861">
        <v>463.38</v>
      </c>
      <c r="C861">
        <f t="shared" si="65"/>
        <v>-3.5870334151720695E-2</v>
      </c>
      <c r="D861">
        <f t="shared" si="66"/>
        <v>1.441396043299739</v>
      </c>
      <c r="E861">
        <f t="shared" si="67"/>
        <v>1.5645141221848955</v>
      </c>
      <c r="F861">
        <f t="shared" si="68"/>
        <v>-7.869413074598397E-2</v>
      </c>
      <c r="G861">
        <f t="shared" si="69"/>
        <v>0.21330914643487089</v>
      </c>
      <c r="H861" s="1"/>
    </row>
    <row r="862" spans="1:8" x14ac:dyDescent="0.45">
      <c r="A862" s="1">
        <v>45498</v>
      </c>
      <c r="B862">
        <v>458.27</v>
      </c>
      <c r="C862">
        <f t="shared" si="65"/>
        <v>-1.1027666278216608E-2</v>
      </c>
      <c r="D862">
        <f t="shared" si="66"/>
        <v>1.4255008087594876</v>
      </c>
      <c r="E862">
        <f t="shared" si="67"/>
        <v>1.5645141221848955</v>
      </c>
      <c r="F862">
        <f t="shared" si="68"/>
        <v>-8.8853984412279541E-2</v>
      </c>
      <c r="G862">
        <f t="shared" si="69"/>
        <v>0.21537100914696142</v>
      </c>
      <c r="H862" s="1"/>
    </row>
    <row r="863" spans="1:8" x14ac:dyDescent="0.45">
      <c r="A863" s="1">
        <v>45499</v>
      </c>
      <c r="B863">
        <v>462.97</v>
      </c>
      <c r="C863">
        <f t="shared" si="65"/>
        <v>1.0255962642110594E-2</v>
      </c>
      <c r="D863">
        <f t="shared" si="66"/>
        <v>1.4401206918004232</v>
      </c>
      <c r="E863">
        <f t="shared" si="67"/>
        <v>1.5645141221848955</v>
      </c>
      <c r="F863">
        <f t="shared" si="68"/>
        <v>-7.9509304914904044E-2</v>
      </c>
      <c r="G863">
        <f t="shared" si="69"/>
        <v>0.21934707553495905</v>
      </c>
      <c r="H863" s="1"/>
    </row>
    <row r="864" spans="1:8" x14ac:dyDescent="0.45">
      <c r="A864" s="1">
        <v>45502</v>
      </c>
      <c r="B864">
        <v>463.9</v>
      </c>
      <c r="C864">
        <f t="shared" si="65"/>
        <v>2.0087694667039191E-3</v>
      </c>
      <c r="D864">
        <f t="shared" si="66"/>
        <v>1.4430135622744804</v>
      </c>
      <c r="E864">
        <f t="shared" si="67"/>
        <v>1.5645141221848955</v>
      </c>
      <c r="F864">
        <f t="shared" si="68"/>
        <v>-7.7660251312232087E-2</v>
      </c>
      <c r="G864">
        <f t="shared" si="69"/>
        <v>0.21939443608584352</v>
      </c>
      <c r="H864" s="1"/>
    </row>
    <row r="865" spans="1:8" x14ac:dyDescent="0.45">
      <c r="A865" s="1">
        <v>45503</v>
      </c>
      <c r="B865">
        <v>457.53</v>
      </c>
      <c r="C865">
        <f t="shared" si="65"/>
        <v>-1.3731407630954928E-2</v>
      </c>
      <c r="D865">
        <f t="shared" si="66"/>
        <v>1.4231989548338932</v>
      </c>
      <c r="E865">
        <f t="shared" si="67"/>
        <v>1.5645141221848955</v>
      </c>
      <c r="F865">
        <f t="shared" si="68"/>
        <v>-9.0325274375696263E-2</v>
      </c>
      <c r="G865">
        <f t="shared" si="69"/>
        <v>0.22166131004999509</v>
      </c>
      <c r="H865" s="1"/>
    </row>
    <row r="866" spans="1:8" x14ac:dyDescent="0.45">
      <c r="A866" s="1">
        <v>45504</v>
      </c>
      <c r="B866">
        <v>471.07</v>
      </c>
      <c r="C866">
        <f t="shared" si="65"/>
        <v>2.9593687845605787E-2</v>
      </c>
      <c r="D866">
        <f t="shared" si="66"/>
        <v>1.46531666044544</v>
      </c>
      <c r="E866">
        <f t="shared" si="67"/>
        <v>1.5645141221848955</v>
      </c>
      <c r="F866">
        <f t="shared" si="68"/>
        <v>-6.3404644504533425E-2</v>
      </c>
      <c r="G866">
        <f t="shared" si="69"/>
        <v>0.24558414112136615</v>
      </c>
      <c r="H866" s="1"/>
    </row>
    <row r="867" spans="1:8" x14ac:dyDescent="0.45">
      <c r="A867" s="1">
        <v>45505</v>
      </c>
      <c r="B867">
        <v>459.66</v>
      </c>
      <c r="C867">
        <f t="shared" si="65"/>
        <v>-2.4221453287197159E-2</v>
      </c>
      <c r="D867">
        <f t="shared" si="66"/>
        <v>1.429824561403509</v>
      </c>
      <c r="E867">
        <f t="shared" si="67"/>
        <v>1.5645141221848955</v>
      </c>
      <c r="F867">
        <f t="shared" si="68"/>
        <v>-8.6090345156672687E-2</v>
      </c>
      <c r="G867">
        <f t="shared" si="69"/>
        <v>0.2552127622079679</v>
      </c>
      <c r="H867" s="1"/>
    </row>
    <row r="868" spans="1:8" x14ac:dyDescent="0.45">
      <c r="A868" s="1">
        <v>45506</v>
      </c>
      <c r="B868">
        <v>448.75</v>
      </c>
      <c r="C868">
        <f t="shared" si="65"/>
        <v>-2.3734934516816852E-2</v>
      </c>
      <c r="D868">
        <f t="shared" si="66"/>
        <v>1.3958877690680602</v>
      </c>
      <c r="E868">
        <f t="shared" si="67"/>
        <v>1.5645141221848955</v>
      </c>
      <c r="F868">
        <f t="shared" si="68"/>
        <v>-0.10778193096866584</v>
      </c>
      <c r="G868">
        <f t="shared" si="69"/>
        <v>0.25983487628241025</v>
      </c>
      <c r="H868" s="1"/>
    </row>
    <row r="869" spans="1:8" x14ac:dyDescent="0.45">
      <c r="A869" s="1">
        <v>45509</v>
      </c>
      <c r="B869">
        <v>435.37</v>
      </c>
      <c r="C869">
        <f t="shared" si="65"/>
        <v>-2.9816155988857895E-2</v>
      </c>
      <c r="D869">
        <f t="shared" si="66"/>
        <v>1.354267761602588</v>
      </c>
      <c r="E869">
        <f t="shared" si="67"/>
        <v>1.5645141221848955</v>
      </c>
      <c r="F869">
        <f t="shared" si="68"/>
        <v>-0.13438444409098171</v>
      </c>
      <c r="G869">
        <f t="shared" si="69"/>
        <v>0.272716688624904</v>
      </c>
      <c r="H869" s="1"/>
    </row>
    <row r="870" spans="1:8" x14ac:dyDescent="0.45">
      <c r="A870" s="1">
        <v>45510</v>
      </c>
      <c r="B870">
        <v>439.53</v>
      </c>
      <c r="C870">
        <f t="shared" si="65"/>
        <v>9.5550910719617299E-3</v>
      </c>
      <c r="D870">
        <f t="shared" si="66"/>
        <v>1.3672079134005224</v>
      </c>
      <c r="E870">
        <f t="shared" si="67"/>
        <v>1.5645141221848955</v>
      </c>
      <c r="F870">
        <f t="shared" si="68"/>
        <v>-0.12611340862096432</v>
      </c>
      <c r="G870">
        <f t="shared" si="69"/>
        <v>0.27752766734904899</v>
      </c>
      <c r="H870" s="1"/>
    </row>
    <row r="871" spans="1:8" x14ac:dyDescent="0.45">
      <c r="A871" s="1">
        <v>45511</v>
      </c>
      <c r="B871">
        <v>434.77</v>
      </c>
      <c r="C871">
        <f t="shared" si="65"/>
        <v>-1.0829749960184709E-2</v>
      </c>
      <c r="D871">
        <f t="shared" si="66"/>
        <v>1.3524013935548089</v>
      </c>
      <c r="E871">
        <f t="shared" si="67"/>
        <v>1.5645141221848955</v>
      </c>
      <c r="F871">
        <f t="shared" si="68"/>
        <v>-0.13557738189915736</v>
      </c>
      <c r="G871">
        <f t="shared" si="69"/>
        <v>0.27096283549084649</v>
      </c>
      <c r="H871" s="1"/>
    </row>
    <row r="872" spans="1:8" x14ac:dyDescent="0.45">
      <c r="A872" s="1">
        <v>45512</v>
      </c>
      <c r="B872">
        <v>448.07</v>
      </c>
      <c r="C872">
        <f t="shared" si="65"/>
        <v>3.0590887135726996E-2</v>
      </c>
      <c r="D872">
        <f t="shared" si="66"/>
        <v>1.3937725519472439</v>
      </c>
      <c r="E872">
        <f t="shared" si="67"/>
        <v>1.5645141221848955</v>
      </c>
      <c r="F872">
        <f t="shared" si="68"/>
        <v>-0.10913392715126491</v>
      </c>
      <c r="G872">
        <f t="shared" si="69"/>
        <v>0.29587622477047359</v>
      </c>
      <c r="H872" s="1"/>
    </row>
    <row r="873" spans="1:8" x14ac:dyDescent="0.45">
      <c r="A873" s="1">
        <v>45513</v>
      </c>
      <c r="B873">
        <v>450.41</v>
      </c>
      <c r="C873">
        <f t="shared" si="65"/>
        <v>5.2223982859822549E-3</v>
      </c>
      <c r="D873">
        <f t="shared" si="66"/>
        <v>1.4010513873335824</v>
      </c>
      <c r="E873">
        <f t="shared" si="67"/>
        <v>1.5645141221848955</v>
      </c>
      <c r="F873">
        <f t="shared" si="68"/>
        <v>-0.10448146969937988</v>
      </c>
      <c r="G873">
        <f t="shared" si="69"/>
        <v>0.29558192608198075</v>
      </c>
      <c r="H873" s="1"/>
    </row>
    <row r="874" spans="1:8" x14ac:dyDescent="0.45">
      <c r="A874" s="1">
        <v>45516</v>
      </c>
      <c r="B874">
        <v>451.38</v>
      </c>
      <c r="C874">
        <f t="shared" si="65"/>
        <v>2.1535933926866146E-3</v>
      </c>
      <c r="D874">
        <f t="shared" si="66"/>
        <v>1.4040686823441584</v>
      </c>
      <c r="E874">
        <f t="shared" si="67"/>
        <v>1.5645141221848955</v>
      </c>
      <c r="F874">
        <f t="shared" si="68"/>
        <v>-0.10255288690949604</v>
      </c>
      <c r="G874">
        <f t="shared" si="69"/>
        <v>0.29541503717038775</v>
      </c>
      <c r="H874" s="1"/>
    </row>
    <row r="875" spans="1:8" x14ac:dyDescent="0.45">
      <c r="A875" s="1">
        <v>45517</v>
      </c>
      <c r="B875">
        <v>462.58</v>
      </c>
      <c r="C875">
        <f t="shared" si="65"/>
        <v>2.4812796313527397E-2</v>
      </c>
      <c r="D875">
        <f t="shared" si="66"/>
        <v>1.4389075525693669</v>
      </c>
      <c r="E875">
        <f t="shared" si="67"/>
        <v>1.5645141221848955</v>
      </c>
      <c r="F875">
        <f t="shared" si="68"/>
        <v>-8.0284714490218123E-2</v>
      </c>
      <c r="G875">
        <f t="shared" si="69"/>
        <v>0.31303060721832737</v>
      </c>
      <c r="H875" s="1"/>
    </row>
    <row r="876" spans="1:8" x14ac:dyDescent="0.45">
      <c r="A876" s="1">
        <v>45518</v>
      </c>
      <c r="B876">
        <v>462.73</v>
      </c>
      <c r="C876">
        <f t="shared" si="65"/>
        <v>3.2426823468378885E-4</v>
      </c>
      <c r="D876">
        <f t="shared" si="66"/>
        <v>1.4393741445813117</v>
      </c>
      <c r="E876">
        <f t="shared" si="67"/>
        <v>1.5645141221848955</v>
      </c>
      <c r="F876">
        <f t="shared" si="68"/>
        <v>-7.9986480038174212E-2</v>
      </c>
      <c r="G876">
        <f t="shared" si="69"/>
        <v>0.29765536265322901</v>
      </c>
      <c r="H876" s="1"/>
    </row>
    <row r="877" spans="1:8" x14ac:dyDescent="0.45">
      <c r="A877" s="1">
        <v>45519</v>
      </c>
      <c r="B877">
        <v>474.42</v>
      </c>
      <c r="C877">
        <f t="shared" si="65"/>
        <v>2.5263112398158816E-2</v>
      </c>
      <c r="D877">
        <f t="shared" si="66"/>
        <v>1.475737215378873</v>
      </c>
      <c r="E877">
        <f t="shared" si="67"/>
        <v>1.5645141221848955</v>
      </c>
      <c r="F877">
        <f t="shared" si="68"/>
        <v>-5.6744075075552902E-2</v>
      </c>
      <c r="G877">
        <f t="shared" si="69"/>
        <v>0.31247298983889438</v>
      </c>
      <c r="H877" s="1"/>
    </row>
    <row r="878" spans="1:8" x14ac:dyDescent="0.45">
      <c r="A878" s="1">
        <v>45520</v>
      </c>
      <c r="B878">
        <v>475.03</v>
      </c>
      <c r="C878">
        <f t="shared" si="65"/>
        <v>1.2857805320178883E-3</v>
      </c>
      <c r="D878">
        <f t="shared" si="66"/>
        <v>1.4776346895607815</v>
      </c>
      <c r="E878">
        <f t="shared" si="67"/>
        <v>1.5645141221848955</v>
      </c>
      <c r="F878">
        <f t="shared" si="68"/>
        <v>-5.553125497057454E-2</v>
      </c>
      <c r="G878">
        <f t="shared" si="69"/>
        <v>0.31087687687565091</v>
      </c>
      <c r="H878" s="1"/>
    </row>
    <row r="879" spans="1:8" x14ac:dyDescent="0.45">
      <c r="A879" s="1">
        <v>45523</v>
      </c>
      <c r="B879">
        <v>481.27</v>
      </c>
      <c r="C879">
        <f t="shared" si="65"/>
        <v>1.3136012462370728E-2</v>
      </c>
      <c r="D879">
        <f t="shared" si="66"/>
        <v>1.4970449172576832</v>
      </c>
      <c r="E879">
        <f t="shared" si="67"/>
        <v>1.5645141221848955</v>
      </c>
      <c r="F879">
        <f t="shared" si="68"/>
        <v>-4.312470176554839E-2</v>
      </c>
      <c r="G879">
        <f t="shared" si="69"/>
        <v>0.30983032869505517</v>
      </c>
      <c r="H879" s="1"/>
    </row>
    <row r="880" spans="1:8" x14ac:dyDescent="0.45">
      <c r="A880" s="1">
        <v>45524</v>
      </c>
      <c r="B880">
        <v>480.26</v>
      </c>
      <c r="C880">
        <f t="shared" si="65"/>
        <v>-2.0986140835704825E-3</v>
      </c>
      <c r="D880">
        <f t="shared" si="66"/>
        <v>1.4939031977105885</v>
      </c>
      <c r="E880">
        <f t="shared" si="67"/>
        <v>1.5645141221848955</v>
      </c>
      <c r="F880">
        <f t="shared" si="68"/>
        <v>-4.5132813742643885E-2</v>
      </c>
      <c r="G880">
        <f t="shared" si="69"/>
        <v>0.30965205298743159</v>
      </c>
      <c r="H880" s="1"/>
    </row>
    <row r="881" spans="1:8" x14ac:dyDescent="0.45">
      <c r="A881" s="1">
        <v>45525</v>
      </c>
      <c r="B881">
        <v>482.5</v>
      </c>
      <c r="C881">
        <f t="shared" si="65"/>
        <v>4.6641402573606161E-3</v>
      </c>
      <c r="D881">
        <f t="shared" si="66"/>
        <v>1.5008709717556303</v>
      </c>
      <c r="E881">
        <f t="shared" si="67"/>
        <v>1.5645141221848955</v>
      </c>
      <c r="F881">
        <f t="shared" si="68"/>
        <v>-4.0679179258788278E-2</v>
      </c>
      <c r="G881">
        <f t="shared" si="69"/>
        <v>0.2790402641697049</v>
      </c>
      <c r="H881" s="1"/>
    </row>
    <row r="882" spans="1:8" x14ac:dyDescent="0.45">
      <c r="A882" s="1">
        <v>45526</v>
      </c>
      <c r="B882">
        <v>474.85</v>
      </c>
      <c r="C882">
        <f t="shared" si="65"/>
        <v>-1.5854922279792683E-2</v>
      </c>
      <c r="D882">
        <f t="shared" si="66"/>
        <v>1.4770747791464478</v>
      </c>
      <c r="E882">
        <f t="shared" si="67"/>
        <v>1.5645141221848955</v>
      </c>
      <c r="F882">
        <f t="shared" si="68"/>
        <v>-5.5889136313027166E-2</v>
      </c>
      <c r="G882">
        <f t="shared" si="69"/>
        <v>0.28257224414576443</v>
      </c>
      <c r="H882" s="1"/>
    </row>
    <row r="883" spans="1:8" x14ac:dyDescent="0.45">
      <c r="A883" s="1">
        <v>45527</v>
      </c>
      <c r="B883">
        <v>480</v>
      </c>
      <c r="C883">
        <f t="shared" si="65"/>
        <v>1.0845530167421291E-2</v>
      </c>
      <c r="D883">
        <f t="shared" si="66"/>
        <v>1.4930944382232176</v>
      </c>
      <c r="E883">
        <f t="shared" si="67"/>
        <v>1.5645141221848955</v>
      </c>
      <c r="F883">
        <f t="shared" si="68"/>
        <v>-4.5649753459520048E-2</v>
      </c>
      <c r="G883">
        <f t="shared" si="69"/>
        <v>0.28281032370146381</v>
      </c>
      <c r="H883" s="1"/>
    </row>
    <row r="884" spans="1:8" x14ac:dyDescent="0.45">
      <c r="A884" s="1">
        <v>45530</v>
      </c>
      <c r="B884">
        <v>475.34</v>
      </c>
      <c r="C884">
        <f t="shared" si="65"/>
        <v>-9.7083333333334298E-3</v>
      </c>
      <c r="D884">
        <f t="shared" si="66"/>
        <v>1.4785989797188004</v>
      </c>
      <c r="E884">
        <f t="shared" si="67"/>
        <v>1.5645141221848955</v>
      </c>
      <c r="F884">
        <f t="shared" si="68"/>
        <v>-5.4914903769683998E-2</v>
      </c>
      <c r="G884">
        <f t="shared" si="69"/>
        <v>0.28582494109178003</v>
      </c>
      <c r="H884" s="1"/>
    </row>
    <row r="885" spans="1:8" x14ac:dyDescent="0.45">
      <c r="A885" s="1">
        <v>45531</v>
      </c>
      <c r="B885">
        <v>476.76</v>
      </c>
      <c r="C885">
        <f t="shared" si="65"/>
        <v>2.9873353809903858E-3</v>
      </c>
      <c r="D885">
        <f t="shared" si="66"/>
        <v>1.4830160507652106</v>
      </c>
      <c r="E885">
        <f t="shared" si="67"/>
        <v>1.5645141221848955</v>
      </c>
      <c r="F885">
        <f t="shared" si="68"/>
        <v>-5.2091617623668429E-2</v>
      </c>
      <c r="G885">
        <f t="shared" si="69"/>
        <v>0.28021310353243128</v>
      </c>
      <c r="H885" s="1"/>
    </row>
    <row r="886" spans="1:8" x14ac:dyDescent="0.45">
      <c r="A886" s="1">
        <v>45532</v>
      </c>
      <c r="B886">
        <v>471.35</v>
      </c>
      <c r="C886">
        <f t="shared" si="65"/>
        <v>-1.1347428475543153E-2</v>
      </c>
      <c r="D886">
        <f t="shared" si="66"/>
        <v>1.4661876322010698</v>
      </c>
      <c r="E886">
        <f t="shared" si="67"/>
        <v>1.5645141221848955</v>
      </c>
      <c r="F886">
        <f t="shared" si="68"/>
        <v>-6.284794019405171E-2</v>
      </c>
      <c r="G886">
        <f t="shared" si="69"/>
        <v>0.26438312157891197</v>
      </c>
      <c r="H886" s="1"/>
    </row>
    <row r="887" spans="1:8" x14ac:dyDescent="0.45">
      <c r="A887" s="1">
        <v>45533</v>
      </c>
      <c r="B887">
        <v>470.66</v>
      </c>
      <c r="C887">
        <f t="shared" si="65"/>
        <v>-1.4638803436936021E-3</v>
      </c>
      <c r="D887">
        <f t="shared" si="66"/>
        <v>1.4640413089461239</v>
      </c>
      <c r="E887">
        <f t="shared" si="67"/>
        <v>1.5645141221848955</v>
      </c>
      <c r="F887">
        <f t="shared" si="68"/>
        <v>-6.4219818673453721E-2</v>
      </c>
      <c r="G887">
        <f t="shared" si="69"/>
        <v>0.24840433876799847</v>
      </c>
      <c r="H887" s="1"/>
    </row>
    <row r="888" spans="1:8" x14ac:dyDescent="0.45">
      <c r="A888" s="1">
        <v>45534</v>
      </c>
      <c r="B888">
        <v>476.27</v>
      </c>
      <c r="C888">
        <f t="shared" si="65"/>
        <v>1.1919432286576104E-2</v>
      </c>
      <c r="D888">
        <f t="shared" si="66"/>
        <v>1.4814918501928576</v>
      </c>
      <c r="E888">
        <f t="shared" si="67"/>
        <v>1.5645141221848955</v>
      </c>
      <c r="F888">
        <f t="shared" si="68"/>
        <v>-5.306585016701193E-2</v>
      </c>
      <c r="G888">
        <f t="shared" si="69"/>
        <v>0.23247659102187723</v>
      </c>
      <c r="H888" s="1"/>
    </row>
    <row r="889" spans="1:8" x14ac:dyDescent="0.45">
      <c r="A889" s="1">
        <v>45538</v>
      </c>
      <c r="B889">
        <v>461.81</v>
      </c>
      <c r="C889">
        <f t="shared" si="65"/>
        <v>-3.0360929724735919E-2</v>
      </c>
      <c r="D889">
        <f t="shared" si="66"/>
        <v>1.4365123802413833</v>
      </c>
      <c r="E889">
        <f t="shared" si="67"/>
        <v>1.5645141221848955</v>
      </c>
      <c r="F889">
        <f t="shared" si="68"/>
        <v>-8.1815651344043894E-2</v>
      </c>
      <c r="G889">
        <f t="shared" si="69"/>
        <v>0.23350484301046748</v>
      </c>
      <c r="H889" s="1"/>
    </row>
    <row r="890" spans="1:8" x14ac:dyDescent="0.45">
      <c r="A890" s="1">
        <v>45539</v>
      </c>
      <c r="B890">
        <v>460.61</v>
      </c>
      <c r="C890">
        <f t="shared" si="65"/>
        <v>-2.5984712327580262E-3</v>
      </c>
      <c r="D890">
        <f t="shared" si="66"/>
        <v>1.4327796441458254</v>
      </c>
      <c r="E890">
        <f t="shared" si="67"/>
        <v>1.5645141221848955</v>
      </c>
      <c r="F890">
        <f t="shared" si="68"/>
        <v>-8.4201526960394957E-2</v>
      </c>
      <c r="G890">
        <f t="shared" si="69"/>
        <v>0.23300221159682408</v>
      </c>
      <c r="H890" s="1"/>
    </row>
    <row r="891" spans="1:8" x14ac:dyDescent="0.45">
      <c r="A891" s="1">
        <v>45540</v>
      </c>
      <c r="B891">
        <v>461.04</v>
      </c>
      <c r="C891">
        <f t="shared" si="65"/>
        <v>9.3354464731554287E-4</v>
      </c>
      <c r="D891">
        <f t="shared" si="66"/>
        <v>1.4341172079134004</v>
      </c>
      <c r="E891">
        <f t="shared" si="67"/>
        <v>1.5645141221848955</v>
      </c>
      <c r="F891">
        <f t="shared" si="68"/>
        <v>-8.3346588197869109E-2</v>
      </c>
      <c r="G891">
        <f t="shared" si="69"/>
        <v>0.22779524854627106</v>
      </c>
      <c r="H891" s="1"/>
    </row>
    <row r="892" spans="1:8" x14ac:dyDescent="0.45">
      <c r="A892" s="1">
        <v>45541</v>
      </c>
      <c r="B892">
        <v>448.69</v>
      </c>
      <c r="C892">
        <f t="shared" si="65"/>
        <v>-2.6787263577997655E-2</v>
      </c>
      <c r="D892">
        <f t="shared" si="66"/>
        <v>1.395701132263282</v>
      </c>
      <c r="E892">
        <f t="shared" si="67"/>
        <v>1.5645141221848955</v>
      </c>
      <c r="F892">
        <f t="shared" si="68"/>
        <v>-0.1079012247494836</v>
      </c>
      <c r="G892">
        <f t="shared" si="69"/>
        <v>0.22678760011061541</v>
      </c>
      <c r="H892" s="1"/>
    </row>
    <row r="893" spans="1:8" x14ac:dyDescent="0.45">
      <c r="A893" s="1">
        <v>45544</v>
      </c>
      <c r="B893">
        <v>454.46</v>
      </c>
      <c r="C893">
        <f t="shared" si="65"/>
        <v>1.2859658115848216E-2</v>
      </c>
      <c r="D893">
        <f t="shared" si="66"/>
        <v>1.4136493716560901</v>
      </c>
      <c r="E893">
        <f t="shared" si="67"/>
        <v>1.5645141221848955</v>
      </c>
      <c r="F893">
        <f t="shared" si="68"/>
        <v>-9.6429139494195071E-2</v>
      </c>
      <c r="G893">
        <f t="shared" si="69"/>
        <v>0.23063354149862883</v>
      </c>
      <c r="H893" s="1"/>
    </row>
    <row r="894" spans="1:8" x14ac:dyDescent="0.45">
      <c r="A894" s="1">
        <v>45545</v>
      </c>
      <c r="B894">
        <v>458.66</v>
      </c>
      <c r="C894">
        <f t="shared" si="65"/>
        <v>9.2417374466400304E-3</v>
      </c>
      <c r="D894">
        <f t="shared" si="66"/>
        <v>1.4267139479905433</v>
      </c>
      <c r="E894">
        <f t="shared" si="67"/>
        <v>1.5645141221848955</v>
      </c>
      <c r="F894">
        <f t="shared" si="68"/>
        <v>-8.8078574836965795E-2</v>
      </c>
      <c r="G894">
        <f t="shared" si="69"/>
        <v>0.23265148614962977</v>
      </c>
      <c r="H894" s="1"/>
    </row>
    <row r="895" spans="1:8" x14ac:dyDescent="0.45">
      <c r="A895" s="1">
        <v>45546</v>
      </c>
      <c r="B895">
        <v>468.62</v>
      </c>
      <c r="C895">
        <f t="shared" si="65"/>
        <v>2.1715431910347416E-2</v>
      </c>
      <c r="D895">
        <f t="shared" si="66"/>
        <v>1.4576956575836748</v>
      </c>
      <c r="E895">
        <f t="shared" si="67"/>
        <v>1.5645141221848955</v>
      </c>
      <c r="F895">
        <f t="shared" si="68"/>
        <v>-6.8275807221251039E-2</v>
      </c>
      <c r="G895">
        <f t="shared" si="69"/>
        <v>0.22865497767538404</v>
      </c>
      <c r="H895" s="1"/>
    </row>
    <row r="896" spans="1:8" x14ac:dyDescent="0.45">
      <c r="A896" s="1">
        <v>45547</v>
      </c>
      <c r="B896">
        <v>473.22</v>
      </c>
      <c r="C896">
        <f t="shared" si="65"/>
        <v>9.8160556527677745E-3</v>
      </c>
      <c r="D896">
        <f t="shared" si="66"/>
        <v>1.472004479283314</v>
      </c>
      <c r="E896">
        <f t="shared" si="67"/>
        <v>1.5645141221848955</v>
      </c>
      <c r="F896">
        <f t="shared" si="68"/>
        <v>-5.9129950691904742E-2</v>
      </c>
      <c r="G896">
        <f t="shared" si="69"/>
        <v>0.23089314425159446</v>
      </c>
      <c r="H896" s="1"/>
    </row>
    <row r="897" spans="1:8" x14ac:dyDescent="0.45">
      <c r="A897" s="1">
        <v>45548</v>
      </c>
      <c r="B897">
        <v>475.34</v>
      </c>
      <c r="C897">
        <f t="shared" si="65"/>
        <v>4.4799459025399724E-3</v>
      </c>
      <c r="D897">
        <f t="shared" si="66"/>
        <v>1.4785989797187997</v>
      </c>
      <c r="E897">
        <f t="shared" si="67"/>
        <v>1.5645141221848955</v>
      </c>
      <c r="F897">
        <f t="shared" si="68"/>
        <v>-5.4914903769684331E-2</v>
      </c>
      <c r="G897">
        <f t="shared" si="69"/>
        <v>0.21330827767183264</v>
      </c>
      <c r="H897" s="1"/>
    </row>
    <row r="898" spans="1:8" x14ac:dyDescent="0.45">
      <c r="A898" s="1">
        <v>45551</v>
      </c>
      <c r="B898">
        <v>473.24</v>
      </c>
      <c r="C898">
        <f t="shared" si="65"/>
        <v>-4.417890352168885E-3</v>
      </c>
      <c r="D898">
        <f t="shared" si="66"/>
        <v>1.4720666915515732</v>
      </c>
      <c r="E898">
        <f t="shared" si="67"/>
        <v>1.5645141221848955</v>
      </c>
      <c r="F898">
        <f t="shared" si="68"/>
        <v>-5.9090186098298969E-2</v>
      </c>
      <c r="G898">
        <f t="shared" si="69"/>
        <v>0.21387732699120587</v>
      </c>
      <c r="H898" s="1"/>
    </row>
    <row r="899" spans="1:8" x14ac:dyDescent="0.45">
      <c r="A899" s="1">
        <v>45552</v>
      </c>
      <c r="B899">
        <v>473.49</v>
      </c>
      <c r="C899">
        <f t="shared" si="65"/>
        <v>5.2827318062709239E-4</v>
      </c>
      <c r="D899">
        <f t="shared" si="66"/>
        <v>1.4728443449048143</v>
      </c>
      <c r="E899">
        <f t="shared" si="67"/>
        <v>1.5645141221848955</v>
      </c>
      <c r="F899">
        <f t="shared" si="68"/>
        <v>-5.8593128678225859E-2</v>
      </c>
      <c r="G899">
        <f t="shared" si="69"/>
        <v>0.20813237103501261</v>
      </c>
      <c r="H899" s="1"/>
    </row>
    <row r="900" spans="1:8" x14ac:dyDescent="0.45">
      <c r="A900" s="1">
        <v>45553</v>
      </c>
      <c r="B900">
        <v>471.44</v>
      </c>
      <c r="C900">
        <f t="shared" ref="C900:C963" si="70">IFERROR((B900/B899)-1,"")</f>
        <v>-4.3295528944645723E-3</v>
      </c>
      <c r="D900">
        <f t="shared" ref="D900:D963" si="71">D899*(1+C900)</f>
        <v>1.4664675874082358</v>
      </c>
      <c r="E900">
        <f t="shared" ref="E900:E963" si="72">MAX(E899,D900)</f>
        <v>1.5645141221848955</v>
      </c>
      <c r="F900">
        <f t="shared" ref="F900:F963" si="73">D900/E900-1</f>
        <v>-6.2668999522826008E-2</v>
      </c>
      <c r="G900">
        <f t="shared" si="69"/>
        <v>0.20847697666615922</v>
      </c>
      <c r="H900" s="1"/>
    </row>
    <row r="901" spans="1:8" x14ac:dyDescent="0.45">
      <c r="A901" s="1">
        <v>45554</v>
      </c>
      <c r="B901">
        <v>483.36</v>
      </c>
      <c r="C901">
        <f t="shared" si="70"/>
        <v>2.5284235533683974E-2</v>
      </c>
      <c r="D901">
        <f t="shared" si="71"/>
        <v>1.503546099290779</v>
      </c>
      <c r="E901">
        <f t="shared" si="72"/>
        <v>1.5645141221848955</v>
      </c>
      <c r="F901">
        <f t="shared" si="73"/>
        <v>-3.896930173373736E-2</v>
      </c>
      <c r="G901">
        <f t="shared" si="69"/>
        <v>0.22766811954054073</v>
      </c>
      <c r="H901" s="1"/>
    </row>
    <row r="902" spans="1:8" x14ac:dyDescent="0.45">
      <c r="A902" s="1">
        <v>45555</v>
      </c>
      <c r="B902">
        <v>482.44</v>
      </c>
      <c r="C902">
        <f t="shared" si="70"/>
        <v>-1.9033432638199121E-3</v>
      </c>
      <c r="D902">
        <f t="shared" si="71"/>
        <v>1.5006843349508512</v>
      </c>
      <c r="E902">
        <f t="shared" si="72"/>
        <v>1.5645141221848955</v>
      </c>
      <c r="F902">
        <f t="shared" si="73"/>
        <v>-4.0798473039606598E-2</v>
      </c>
      <c r="G902">
        <f t="shared" si="69"/>
        <v>0.21988272840006245</v>
      </c>
      <c r="H902" s="1"/>
    </row>
    <row r="903" spans="1:8" x14ac:dyDescent="0.45">
      <c r="A903" s="1">
        <v>45558</v>
      </c>
      <c r="B903">
        <v>483.04</v>
      </c>
      <c r="C903">
        <f t="shared" si="70"/>
        <v>1.2436779703175471E-3</v>
      </c>
      <c r="D903">
        <f t="shared" si="71"/>
        <v>1.5025507029986302</v>
      </c>
      <c r="E903">
        <f t="shared" si="72"/>
        <v>1.5645141221848955</v>
      </c>
      <c r="F903">
        <f t="shared" si="73"/>
        <v>-3.9605535231431066E-2</v>
      </c>
      <c r="G903">
        <f t="shared" si="69"/>
        <v>0.21673264284293933</v>
      </c>
      <c r="H903" s="1"/>
    </row>
    <row r="904" spans="1:8" x14ac:dyDescent="0.45">
      <c r="A904" s="1">
        <v>45559</v>
      </c>
      <c r="B904">
        <v>485.37</v>
      </c>
      <c r="C904">
        <f t="shared" si="70"/>
        <v>4.8236170917521637E-3</v>
      </c>
      <c r="D904">
        <f t="shared" si="71"/>
        <v>1.5097984322508387</v>
      </c>
      <c r="E904">
        <f t="shared" si="72"/>
        <v>1.5645141221848955</v>
      </c>
      <c r="F904">
        <f t="shared" si="73"/>
        <v>-3.4972960076349202E-2</v>
      </c>
      <c r="G904">
        <f t="shared" si="69"/>
        <v>0.2138587080174161</v>
      </c>
      <c r="H904" s="1"/>
    </row>
    <row r="905" spans="1:8" x14ac:dyDescent="0.45">
      <c r="A905" s="1">
        <v>45560</v>
      </c>
      <c r="B905">
        <v>485.82</v>
      </c>
      <c r="C905">
        <f t="shared" si="70"/>
        <v>9.2712775820502635E-4</v>
      </c>
      <c r="D905">
        <f t="shared" si="71"/>
        <v>1.5111982082866728</v>
      </c>
      <c r="E905">
        <f t="shared" si="72"/>
        <v>1.5645141221848955</v>
      </c>
      <c r="F905">
        <f t="shared" si="73"/>
        <v>-3.4078256720217581E-2</v>
      </c>
      <c r="G905">
        <f t="shared" si="69"/>
        <v>0.21374655638070658</v>
      </c>
      <c r="H905" s="1"/>
    </row>
    <row r="906" spans="1:8" x14ac:dyDescent="0.45">
      <c r="A906" s="1">
        <v>45561</v>
      </c>
      <c r="B906">
        <v>489.47</v>
      </c>
      <c r="C906">
        <f t="shared" si="70"/>
        <v>7.5130706846158191E-3</v>
      </c>
      <c r="D906">
        <f t="shared" si="71"/>
        <v>1.5225519472439955</v>
      </c>
      <c r="E906">
        <f t="shared" si="72"/>
        <v>1.5645141221848955</v>
      </c>
      <c r="F906">
        <f t="shared" si="73"/>
        <v>-2.6821218387149126E-2</v>
      </c>
      <c r="G906">
        <f t="shared" si="69"/>
        <v>0.20970961276089775</v>
      </c>
      <c r="H906" s="1"/>
    </row>
    <row r="907" spans="1:8" x14ac:dyDescent="0.45">
      <c r="A907" s="1">
        <v>45562</v>
      </c>
      <c r="B907">
        <v>486.75</v>
      </c>
      <c r="C907">
        <f t="shared" si="70"/>
        <v>-5.5570310744275098E-3</v>
      </c>
      <c r="D907">
        <f t="shared" si="71"/>
        <v>1.5140910787607305</v>
      </c>
      <c r="E907">
        <f t="shared" si="72"/>
        <v>1.5645141221848955</v>
      </c>
      <c r="F907">
        <f t="shared" si="73"/>
        <v>-3.2229203117545291E-2</v>
      </c>
      <c r="G907">
        <f t="shared" si="69"/>
        <v>0.2110975869075068</v>
      </c>
      <c r="H907" s="1"/>
    </row>
    <row r="908" spans="1:8" x14ac:dyDescent="0.45">
      <c r="A908" s="1">
        <v>45565</v>
      </c>
      <c r="B908">
        <v>488.07</v>
      </c>
      <c r="C908">
        <f t="shared" si="70"/>
        <v>2.7118644067796183E-3</v>
      </c>
      <c r="D908">
        <f t="shared" si="71"/>
        <v>1.5181970884658442</v>
      </c>
      <c r="E908">
        <f t="shared" si="72"/>
        <v>1.5645141221848955</v>
      </c>
      <c r="F908">
        <f t="shared" si="73"/>
        <v>-2.9604739939559033E-2</v>
      </c>
      <c r="G908">
        <f t="shared" si="69"/>
        <v>0.20772733450549191</v>
      </c>
      <c r="H908" s="1"/>
    </row>
    <row r="909" spans="1:8" x14ac:dyDescent="0.45">
      <c r="A909" s="1">
        <v>45566</v>
      </c>
      <c r="B909">
        <v>481.27</v>
      </c>
      <c r="C909">
        <f t="shared" si="70"/>
        <v>-1.393242772553116E-2</v>
      </c>
      <c r="D909">
        <f t="shared" si="71"/>
        <v>1.4970449172576821</v>
      </c>
      <c r="E909">
        <f t="shared" si="72"/>
        <v>1.5645141221848955</v>
      </c>
      <c r="F909">
        <f t="shared" si="73"/>
        <v>-4.3124701765549056E-2</v>
      </c>
      <c r="G909">
        <f t="shared" si="69"/>
        <v>0.18097290636321023</v>
      </c>
      <c r="H909" s="1"/>
    </row>
    <row r="910" spans="1:8" x14ac:dyDescent="0.45">
      <c r="A910" s="1">
        <v>45567</v>
      </c>
      <c r="B910">
        <v>481.95</v>
      </c>
      <c r="C910">
        <f t="shared" si="70"/>
        <v>1.4129282938890597E-3</v>
      </c>
      <c r="D910">
        <f t="shared" si="71"/>
        <v>1.4991601343784982</v>
      </c>
      <c r="E910">
        <f t="shared" si="72"/>
        <v>1.5645141221848955</v>
      </c>
      <c r="F910">
        <f t="shared" si="73"/>
        <v>-4.1772705582950098E-2</v>
      </c>
      <c r="G910">
        <f t="shared" si="69"/>
        <v>0.18014175536638144</v>
      </c>
      <c r="H910" s="1"/>
    </row>
    <row r="911" spans="1:8" x14ac:dyDescent="0.45">
      <c r="A911" s="1">
        <v>45568</v>
      </c>
      <c r="B911">
        <v>481.59</v>
      </c>
      <c r="C911">
        <f t="shared" si="70"/>
        <v>-7.4696545284780314E-4</v>
      </c>
      <c r="D911">
        <f t="shared" si="71"/>
        <v>1.4980403135498308</v>
      </c>
      <c r="E911">
        <f t="shared" si="72"/>
        <v>1.5645141221848955</v>
      </c>
      <c r="F911">
        <f t="shared" si="73"/>
        <v>-4.2488468267855461E-2</v>
      </c>
      <c r="G911">
        <f t="shared" si="69"/>
        <v>0.18041287562927569</v>
      </c>
      <c r="H911" s="1"/>
    </row>
    <row r="912" spans="1:8" x14ac:dyDescent="0.45">
      <c r="A912" s="1">
        <v>45569</v>
      </c>
      <c r="B912">
        <v>487.32</v>
      </c>
      <c r="C912">
        <f t="shared" si="70"/>
        <v>1.1898087584875094E-2</v>
      </c>
      <c r="D912">
        <f t="shared" si="71"/>
        <v>1.5158641284061205</v>
      </c>
      <c r="E912">
        <f t="shared" si="72"/>
        <v>1.5645141221848955</v>
      </c>
      <c r="F912">
        <f t="shared" si="73"/>
        <v>-3.1095912199778475E-2</v>
      </c>
      <c r="G912">
        <f t="shared" si="69"/>
        <v>0.14701686028562144</v>
      </c>
      <c r="H912" s="1"/>
    </row>
    <row r="913" spans="1:8" x14ac:dyDescent="0.45">
      <c r="A913" s="1">
        <v>45572</v>
      </c>
      <c r="B913">
        <v>482.1</v>
      </c>
      <c r="C913">
        <f t="shared" si="70"/>
        <v>-1.0711647377493194E-2</v>
      </c>
      <c r="D913">
        <f t="shared" si="71"/>
        <v>1.499626726390443</v>
      </c>
      <c r="E913">
        <f t="shared" si="72"/>
        <v>1.5645141221848955</v>
      </c>
      <c r="F913">
        <f t="shared" si="73"/>
        <v>-4.1474471130906188E-2</v>
      </c>
      <c r="G913">
        <f t="shared" si="69"/>
        <v>0.15227137459138443</v>
      </c>
      <c r="H913" s="1"/>
    </row>
    <row r="914" spans="1:8" x14ac:dyDescent="0.45">
      <c r="A914" s="1">
        <v>45573</v>
      </c>
      <c r="B914">
        <v>489.3</v>
      </c>
      <c r="C914">
        <f t="shared" si="70"/>
        <v>1.4934660858743065E-2</v>
      </c>
      <c r="D914">
        <f t="shared" si="71"/>
        <v>1.5220231429637914</v>
      </c>
      <c r="E914">
        <f t="shared" si="72"/>
        <v>1.5645141221848955</v>
      </c>
      <c r="F914">
        <f t="shared" si="73"/>
        <v>-2.7159217432798921E-2</v>
      </c>
      <c r="G914">
        <f t="shared" si="69"/>
        <v>0.15664459734186761</v>
      </c>
      <c r="H914" s="1"/>
    </row>
    <row r="915" spans="1:8" x14ac:dyDescent="0.45">
      <c r="A915" s="1">
        <v>45574</v>
      </c>
      <c r="B915">
        <v>493.15</v>
      </c>
      <c r="C915">
        <f t="shared" si="70"/>
        <v>7.8683834048640655E-3</v>
      </c>
      <c r="D915">
        <f t="shared" si="71"/>
        <v>1.5339990046037066</v>
      </c>
      <c r="E915">
        <f t="shared" si="72"/>
        <v>1.5645141221848955</v>
      </c>
      <c r="F915">
        <f t="shared" si="73"/>
        <v>-1.9504533163672289E-2</v>
      </c>
      <c r="G915">
        <f t="shared" si="69"/>
        <v>0.14206892046070299</v>
      </c>
      <c r="H915" s="1"/>
    </row>
    <row r="916" spans="1:8" x14ac:dyDescent="0.45">
      <c r="A916" s="1">
        <v>45575</v>
      </c>
      <c r="B916">
        <v>492.59</v>
      </c>
      <c r="C916">
        <f t="shared" si="70"/>
        <v>-1.1355571327182901E-3</v>
      </c>
      <c r="D916">
        <f t="shared" si="71"/>
        <v>1.5322570610924462</v>
      </c>
      <c r="E916">
        <f t="shared" si="72"/>
        <v>1.5645141221848955</v>
      </c>
      <c r="F916">
        <f t="shared" si="73"/>
        <v>-2.0617941784636162E-2</v>
      </c>
      <c r="G916">
        <f t="shared" si="69"/>
        <v>0.13998645737747675</v>
      </c>
      <c r="H916" s="1"/>
    </row>
    <row r="917" spans="1:8" x14ac:dyDescent="0.45">
      <c r="A917" s="1">
        <v>45576</v>
      </c>
      <c r="B917">
        <v>493.36</v>
      </c>
      <c r="C917">
        <f t="shared" si="70"/>
        <v>1.5631661219270843E-3</v>
      </c>
      <c r="D917">
        <f t="shared" si="71"/>
        <v>1.5346522334204296</v>
      </c>
      <c r="E917">
        <f t="shared" si="72"/>
        <v>1.5645141221848955</v>
      </c>
      <c r="F917">
        <f t="shared" si="73"/>
        <v>-1.9087004930810614E-2</v>
      </c>
      <c r="G917">
        <f t="shared" si="69"/>
        <v>0.13969601207476526</v>
      </c>
      <c r="H917" s="1"/>
    </row>
    <row r="918" spans="1:8" x14ac:dyDescent="0.45">
      <c r="A918" s="1">
        <v>45579</v>
      </c>
      <c r="B918">
        <v>497.5</v>
      </c>
      <c r="C918">
        <f t="shared" si="70"/>
        <v>8.3914383006322701E-3</v>
      </c>
      <c r="D918">
        <f t="shared" si="71"/>
        <v>1.5475301729501045</v>
      </c>
      <c r="E918">
        <f t="shared" si="72"/>
        <v>1.5645141221848955</v>
      </c>
      <c r="F918">
        <f t="shared" si="73"/>
        <v>-1.0855734054399102E-2</v>
      </c>
      <c r="G918">
        <f t="shared" ref="G918:G981" si="74">_xlfn.STDEV.S(C899:C918)*SQRT(252)</f>
        <v>0.13941334302201736</v>
      </c>
      <c r="H918" s="1"/>
    </row>
    <row r="919" spans="1:8" x14ac:dyDescent="0.45">
      <c r="A919" s="1">
        <v>45580</v>
      </c>
      <c r="B919">
        <v>490.85</v>
      </c>
      <c r="C919">
        <f t="shared" si="70"/>
        <v>-1.3366834170854269E-2</v>
      </c>
      <c r="D919">
        <f t="shared" si="71"/>
        <v>1.526844593753887</v>
      </c>
      <c r="E919">
        <f t="shared" si="72"/>
        <v>1.5645141221848955</v>
      </c>
      <c r="F919">
        <f t="shared" si="73"/>
        <v>-2.4077461428345437E-2</v>
      </c>
      <c r="G919">
        <f t="shared" si="74"/>
        <v>0.15036626056595581</v>
      </c>
      <c r="H919" s="1"/>
    </row>
    <row r="920" spans="1:8" x14ac:dyDescent="0.45">
      <c r="A920" s="1">
        <v>45581</v>
      </c>
      <c r="B920">
        <v>490.91</v>
      </c>
      <c r="C920">
        <f t="shared" si="70"/>
        <v>1.2223693592749996E-4</v>
      </c>
      <c r="D920">
        <f t="shared" si="71"/>
        <v>1.5270312305586651</v>
      </c>
      <c r="E920">
        <f t="shared" si="72"/>
        <v>1.5645141221848955</v>
      </c>
      <c r="F920">
        <f t="shared" si="73"/>
        <v>-2.3958167647527784E-2</v>
      </c>
      <c r="G920">
        <f t="shared" si="74"/>
        <v>0.14876370437350447</v>
      </c>
      <c r="H920" s="1"/>
    </row>
    <row r="921" spans="1:8" x14ac:dyDescent="0.45">
      <c r="A921" s="1">
        <v>45582</v>
      </c>
      <c r="B921">
        <v>491.25</v>
      </c>
      <c r="C921">
        <f t="shared" si="70"/>
        <v>6.9259131001597751E-4</v>
      </c>
      <c r="D921">
        <f t="shared" si="71"/>
        <v>1.528088839119073</v>
      </c>
      <c r="E921">
        <f t="shared" si="72"/>
        <v>1.5645141221848955</v>
      </c>
      <c r="F921">
        <f t="shared" si="73"/>
        <v>-2.3282169556228305E-2</v>
      </c>
      <c r="G921">
        <f t="shared" si="74"/>
        <v>0.12085238629673696</v>
      </c>
      <c r="H921" s="1"/>
    </row>
    <row r="922" spans="1:8" x14ac:dyDescent="0.45">
      <c r="A922" s="1">
        <v>45583</v>
      </c>
      <c r="B922">
        <v>494.47</v>
      </c>
      <c r="C922">
        <f t="shared" si="70"/>
        <v>6.5547073791349941E-3</v>
      </c>
      <c r="D922">
        <f t="shared" si="71"/>
        <v>1.5381050143088206</v>
      </c>
      <c r="E922">
        <f t="shared" si="72"/>
        <v>1.5645141221848955</v>
      </c>
      <c r="F922">
        <f t="shared" si="73"/>
        <v>-1.6880069985685808E-2</v>
      </c>
      <c r="G922">
        <f t="shared" si="74"/>
        <v>0.12203179294811659</v>
      </c>
      <c r="H922" s="1"/>
    </row>
    <row r="923" spans="1:8" x14ac:dyDescent="0.45">
      <c r="A923" s="1">
        <v>45586</v>
      </c>
      <c r="B923">
        <v>495.42</v>
      </c>
      <c r="C923">
        <f t="shared" si="70"/>
        <v>1.9212490140958494E-3</v>
      </c>
      <c r="D923">
        <f t="shared" si="71"/>
        <v>1.5410600970511372</v>
      </c>
      <c r="E923">
        <f t="shared" si="72"/>
        <v>1.5645141221848955</v>
      </c>
      <c r="F923">
        <f t="shared" si="73"/>
        <v>-1.4991251789407967E-2</v>
      </c>
      <c r="G923">
        <f t="shared" si="74"/>
        <v>0.12205426433449458</v>
      </c>
      <c r="H923" s="1"/>
    </row>
    <row r="924" spans="1:8" x14ac:dyDescent="0.45">
      <c r="A924" s="1">
        <v>45587</v>
      </c>
      <c r="B924">
        <v>495.96</v>
      </c>
      <c r="C924">
        <f t="shared" si="70"/>
        <v>1.0899842557829942E-3</v>
      </c>
      <c r="D924">
        <f t="shared" si="71"/>
        <v>1.5427398282941385</v>
      </c>
      <c r="E924">
        <f t="shared" si="72"/>
        <v>1.5645141221848955</v>
      </c>
      <c r="F924">
        <f t="shared" si="73"/>
        <v>-1.3917607762049755E-2</v>
      </c>
      <c r="G924">
        <f t="shared" si="74"/>
        <v>0.12133976731521903</v>
      </c>
      <c r="H924" s="1"/>
    </row>
    <row r="925" spans="1:8" x14ac:dyDescent="0.45">
      <c r="A925" s="1">
        <v>45588</v>
      </c>
      <c r="B925">
        <v>488.36</v>
      </c>
      <c r="C925">
        <f t="shared" si="70"/>
        <v>-1.5323816436809357E-2</v>
      </c>
      <c r="D925">
        <f t="shared" si="71"/>
        <v>1.5190991663556044</v>
      </c>
      <c r="E925">
        <f t="shared" si="72"/>
        <v>1.5645141221848955</v>
      </c>
      <c r="F925">
        <f t="shared" si="73"/>
        <v>-2.9028153332273932E-2</v>
      </c>
      <c r="G925">
        <f t="shared" si="74"/>
        <v>0.13464282383980325</v>
      </c>
      <c r="H925" s="1"/>
    </row>
    <row r="926" spans="1:8" x14ac:dyDescent="0.45">
      <c r="A926" s="1">
        <v>45589</v>
      </c>
      <c r="B926">
        <v>492.32</v>
      </c>
      <c r="C926">
        <f t="shared" si="70"/>
        <v>8.1087722172168419E-3</v>
      </c>
      <c r="D926">
        <f t="shared" si="71"/>
        <v>1.5314171954709459</v>
      </c>
      <c r="E926">
        <f t="shared" si="72"/>
        <v>1.5645141221848955</v>
      </c>
      <c r="F926">
        <f t="shared" si="73"/>
        <v>-2.1154763798315046E-2</v>
      </c>
      <c r="G926">
        <f t="shared" si="74"/>
        <v>0.13508226919921154</v>
      </c>
      <c r="H926" s="1"/>
    </row>
    <row r="927" spans="1:8" x14ac:dyDescent="0.45">
      <c r="A927" s="1">
        <v>45590</v>
      </c>
      <c r="B927">
        <v>495.32</v>
      </c>
      <c r="C927">
        <f t="shared" si="70"/>
        <v>6.0935976600584585E-3</v>
      </c>
      <c r="D927">
        <f t="shared" si="71"/>
        <v>1.540749035709841</v>
      </c>
      <c r="E927">
        <f t="shared" si="72"/>
        <v>1.5645141221848955</v>
      </c>
      <c r="F927">
        <f t="shared" si="73"/>
        <v>-1.5190074757436944E-2</v>
      </c>
      <c r="G927">
        <f t="shared" si="74"/>
        <v>0.13468385624706034</v>
      </c>
      <c r="H927" s="1"/>
    </row>
    <row r="928" spans="1:8" x14ac:dyDescent="0.45">
      <c r="A928" s="1">
        <v>45593</v>
      </c>
      <c r="B928">
        <v>495.4</v>
      </c>
      <c r="C928">
        <f t="shared" si="70"/>
        <v>1.6151174997980355E-4</v>
      </c>
      <c r="D928">
        <f t="shared" si="71"/>
        <v>1.5409978847828782</v>
      </c>
      <c r="E928">
        <f t="shared" si="72"/>
        <v>1.5645141221848955</v>
      </c>
      <c r="F928">
        <f t="shared" si="73"/>
        <v>-1.5031016383013518E-2</v>
      </c>
      <c r="G928">
        <f t="shared" si="74"/>
        <v>0.13453481073311077</v>
      </c>
      <c r="H928" s="1"/>
    </row>
    <row r="929" spans="1:8" x14ac:dyDescent="0.45">
      <c r="A929" s="1">
        <v>45594</v>
      </c>
      <c r="B929">
        <v>500.16</v>
      </c>
      <c r="C929">
        <f t="shared" si="70"/>
        <v>9.6083972547438279E-3</v>
      </c>
      <c r="D929">
        <f t="shared" si="71"/>
        <v>1.5558044046285922</v>
      </c>
      <c r="E929">
        <f t="shared" si="72"/>
        <v>1.5645141221848955</v>
      </c>
      <c r="F929">
        <f t="shared" si="73"/>
        <v>-5.5670431048202573E-3</v>
      </c>
      <c r="G929">
        <f t="shared" si="74"/>
        <v>0.12607573197851635</v>
      </c>
      <c r="H929" s="1"/>
    </row>
    <row r="930" spans="1:8" x14ac:dyDescent="0.45">
      <c r="A930" s="1">
        <v>45595</v>
      </c>
      <c r="B930">
        <v>496.38</v>
      </c>
      <c r="C930">
        <f t="shared" si="70"/>
        <v>-7.5575815738964103E-3</v>
      </c>
      <c r="D930">
        <f t="shared" si="71"/>
        <v>1.5440462859275843</v>
      </c>
      <c r="E930">
        <f t="shared" si="72"/>
        <v>1.5645141221848955</v>
      </c>
      <c r="F930">
        <f t="shared" si="73"/>
        <v>-1.3082551296326517E-2</v>
      </c>
      <c r="G930">
        <f t="shared" si="74"/>
        <v>0.13053137615863106</v>
      </c>
      <c r="H930" s="1"/>
    </row>
    <row r="931" spans="1:8" x14ac:dyDescent="0.45">
      <c r="A931" s="1">
        <v>45596</v>
      </c>
      <c r="B931">
        <v>483.85</v>
      </c>
      <c r="C931">
        <f t="shared" si="70"/>
        <v>-2.5242757564768903E-2</v>
      </c>
      <c r="D931">
        <f t="shared" si="71"/>
        <v>1.5050702998631325</v>
      </c>
      <c r="E931">
        <f t="shared" si="72"/>
        <v>1.5645141221848955</v>
      </c>
      <c r="F931">
        <f t="shared" si="73"/>
        <v>-3.7995069190393638E-2</v>
      </c>
      <c r="G931">
        <f t="shared" si="74"/>
        <v>0.16144484587116797</v>
      </c>
      <c r="H931" s="1"/>
    </row>
    <row r="932" spans="1:8" x14ac:dyDescent="0.45">
      <c r="A932" s="1">
        <v>45597</v>
      </c>
      <c r="B932">
        <v>487.43</v>
      </c>
      <c r="C932">
        <f t="shared" si="70"/>
        <v>7.3989872894490993E-3</v>
      </c>
      <c r="D932">
        <f t="shared" si="71"/>
        <v>1.5162062958815472</v>
      </c>
      <c r="E932">
        <f t="shared" si="72"/>
        <v>1.5645141221848955</v>
      </c>
      <c r="F932">
        <f t="shared" si="73"/>
        <v>-3.0877206934945889E-2</v>
      </c>
      <c r="G932">
        <f t="shared" si="74"/>
        <v>0.1579029827846184</v>
      </c>
      <c r="H932" s="1"/>
    </row>
    <row r="933" spans="1:8" x14ac:dyDescent="0.45">
      <c r="A933" s="1">
        <v>45600</v>
      </c>
      <c r="B933">
        <v>486.01</v>
      </c>
      <c r="C933">
        <f t="shared" si="70"/>
        <v>-2.9132388240362683E-3</v>
      </c>
      <c r="D933">
        <f t="shared" si="71"/>
        <v>1.5117892248351368</v>
      </c>
      <c r="E933">
        <f t="shared" si="72"/>
        <v>1.5645141221848955</v>
      </c>
      <c r="F933">
        <f t="shared" si="73"/>
        <v>-3.3700493080961569E-2</v>
      </c>
      <c r="G933">
        <f t="shared" si="74"/>
        <v>0.15320464180323229</v>
      </c>
      <c r="H933" s="1"/>
    </row>
    <row r="934" spans="1:8" x14ac:dyDescent="0.45">
      <c r="A934" s="1">
        <v>45601</v>
      </c>
      <c r="B934">
        <v>492.21</v>
      </c>
      <c r="C934">
        <f t="shared" si="70"/>
        <v>1.2756939157630542E-2</v>
      </c>
      <c r="D934">
        <f t="shared" si="71"/>
        <v>1.5310750279955201</v>
      </c>
      <c r="E934">
        <f t="shared" si="72"/>
        <v>1.5645141221848955</v>
      </c>
      <c r="F934">
        <f t="shared" si="73"/>
        <v>-2.1373469063146966E-2</v>
      </c>
      <c r="G934">
        <f t="shared" si="74"/>
        <v>0.15064725695713543</v>
      </c>
      <c r="H934" s="1"/>
    </row>
    <row r="935" spans="1:8" x14ac:dyDescent="0.45">
      <c r="A935" s="1">
        <v>45602</v>
      </c>
      <c r="B935">
        <v>505.58</v>
      </c>
      <c r="C935">
        <f t="shared" si="70"/>
        <v>2.7163202698035294E-2</v>
      </c>
      <c r="D935">
        <f t="shared" si="71"/>
        <v>1.5726639293268625</v>
      </c>
      <c r="E935">
        <f t="shared" si="72"/>
        <v>1.5726639293268625</v>
      </c>
      <c r="F935">
        <f t="shared" si="73"/>
        <v>0</v>
      </c>
      <c r="G935">
        <f t="shared" si="74"/>
        <v>0.17674510353532707</v>
      </c>
      <c r="H935" s="1"/>
    </row>
    <row r="936" spans="1:8" x14ac:dyDescent="0.45">
      <c r="A936" s="1">
        <v>45603</v>
      </c>
      <c r="B936">
        <v>513.54</v>
      </c>
      <c r="C936">
        <f t="shared" si="70"/>
        <v>1.5744293682503185E-2</v>
      </c>
      <c r="D936">
        <f t="shared" si="71"/>
        <v>1.5974244120940642</v>
      </c>
      <c r="E936">
        <f t="shared" si="72"/>
        <v>1.5974244120940642</v>
      </c>
      <c r="F936">
        <f t="shared" si="73"/>
        <v>0</v>
      </c>
      <c r="G936">
        <f t="shared" si="74"/>
        <v>0.18367484385839841</v>
      </c>
      <c r="H936" s="1"/>
    </row>
    <row r="937" spans="1:8" x14ac:dyDescent="0.45">
      <c r="A937" s="1">
        <v>45604</v>
      </c>
      <c r="B937">
        <v>514.14</v>
      </c>
      <c r="C937">
        <f t="shared" si="70"/>
        <v>1.168360789811862E-3</v>
      </c>
      <c r="D937">
        <f t="shared" si="71"/>
        <v>1.5992907801418432</v>
      </c>
      <c r="E937">
        <f t="shared" si="72"/>
        <v>1.5992907801418432</v>
      </c>
      <c r="F937">
        <f t="shared" si="73"/>
        <v>0</v>
      </c>
      <c r="G937">
        <f t="shared" si="74"/>
        <v>0.18369687160387474</v>
      </c>
      <c r="H937" s="1"/>
    </row>
    <row r="938" spans="1:8" x14ac:dyDescent="0.45">
      <c r="A938" s="1">
        <v>45607</v>
      </c>
      <c r="B938">
        <v>513.84</v>
      </c>
      <c r="C938">
        <f t="shared" si="70"/>
        <v>-5.8349865795304101E-4</v>
      </c>
      <c r="D938">
        <f t="shared" si="71"/>
        <v>1.5983575961179537</v>
      </c>
      <c r="E938">
        <f t="shared" si="72"/>
        <v>1.5992907801418432</v>
      </c>
      <c r="F938">
        <f t="shared" si="73"/>
        <v>-5.8349865795315203E-4</v>
      </c>
      <c r="G938">
        <f t="shared" si="74"/>
        <v>0.18239643151328586</v>
      </c>
      <c r="H938" s="1"/>
    </row>
    <row r="939" spans="1:8" x14ac:dyDescent="0.45">
      <c r="A939" s="1">
        <v>45608</v>
      </c>
      <c r="B939">
        <v>512.91</v>
      </c>
      <c r="C939">
        <f t="shared" si="70"/>
        <v>-1.8099019149930839E-3</v>
      </c>
      <c r="D939">
        <f t="shared" si="71"/>
        <v>1.5954647256438961</v>
      </c>
      <c r="E939">
        <f t="shared" si="72"/>
        <v>1.5992907801418432</v>
      </c>
      <c r="F939">
        <f t="shared" si="73"/>
        <v>-2.3923444976077235E-3</v>
      </c>
      <c r="G939">
        <f t="shared" si="74"/>
        <v>0.17417977003547908</v>
      </c>
      <c r="H939" s="1"/>
    </row>
    <row r="940" spans="1:8" x14ac:dyDescent="0.45">
      <c r="A940" s="1">
        <v>45609</v>
      </c>
      <c r="B940">
        <v>512.25</v>
      </c>
      <c r="C940">
        <f t="shared" si="70"/>
        <v>-1.2867754576825208E-3</v>
      </c>
      <c r="D940">
        <f t="shared" si="71"/>
        <v>1.5934117207913394</v>
      </c>
      <c r="E940">
        <f t="shared" si="72"/>
        <v>1.5992907801418432</v>
      </c>
      <c r="F940">
        <f t="shared" si="73"/>
        <v>-3.6760415451043693E-3</v>
      </c>
      <c r="G940">
        <f t="shared" si="74"/>
        <v>0.17448043503133906</v>
      </c>
      <c r="H940" s="1"/>
    </row>
    <row r="941" spans="1:8" x14ac:dyDescent="0.45">
      <c r="A941" s="1">
        <v>45610</v>
      </c>
      <c r="B941">
        <v>508.69</v>
      </c>
      <c r="C941">
        <f t="shared" si="70"/>
        <v>-6.9497315763786816E-3</v>
      </c>
      <c r="D941">
        <f t="shared" si="71"/>
        <v>1.5823379370411839</v>
      </c>
      <c r="E941">
        <f t="shared" si="72"/>
        <v>1.5992907801418432</v>
      </c>
      <c r="F941">
        <f t="shared" si="73"/>
        <v>-1.0600225619481041E-2</v>
      </c>
      <c r="G941">
        <f t="shared" si="74"/>
        <v>0.17743260101143715</v>
      </c>
      <c r="H941" s="1"/>
    </row>
    <row r="942" spans="1:8" x14ac:dyDescent="0.45">
      <c r="A942" s="1">
        <v>45611</v>
      </c>
      <c r="B942">
        <v>496.57</v>
      </c>
      <c r="C942">
        <f t="shared" si="70"/>
        <v>-2.3825905757927202E-2</v>
      </c>
      <c r="D942">
        <f t="shared" si="71"/>
        <v>1.5446373024760476</v>
      </c>
      <c r="E942">
        <f t="shared" si="72"/>
        <v>1.5992907801418432</v>
      </c>
      <c r="F942">
        <f t="shared" si="73"/>
        <v>-3.4173571400785807E-2</v>
      </c>
      <c r="G942">
        <f t="shared" si="74"/>
        <v>0.19820263407366645</v>
      </c>
      <c r="H942" s="1"/>
    </row>
    <row r="943" spans="1:8" x14ac:dyDescent="0.45">
      <c r="A943" s="1">
        <v>45614</v>
      </c>
      <c r="B943">
        <v>500.02</v>
      </c>
      <c r="C943">
        <f t="shared" si="70"/>
        <v>6.9476609541454515E-3</v>
      </c>
      <c r="D943">
        <f t="shared" si="71"/>
        <v>1.5553689187507769</v>
      </c>
      <c r="E943">
        <f t="shared" si="72"/>
        <v>1.5992907801418432</v>
      </c>
      <c r="F943">
        <f t="shared" si="73"/>
        <v>-2.7463336834325336E-2</v>
      </c>
      <c r="G943">
        <f t="shared" si="74"/>
        <v>0.19955109185576742</v>
      </c>
      <c r="H943" s="1"/>
    </row>
    <row r="944" spans="1:8" x14ac:dyDescent="0.45">
      <c r="A944" s="1">
        <v>45615</v>
      </c>
      <c r="B944">
        <v>503.46</v>
      </c>
      <c r="C944">
        <f t="shared" si="70"/>
        <v>6.8797248110075149E-3</v>
      </c>
      <c r="D944">
        <f t="shared" si="71"/>
        <v>1.5660694288913766</v>
      </c>
      <c r="E944">
        <f t="shared" si="72"/>
        <v>1.5992907801418432</v>
      </c>
      <c r="F944">
        <f t="shared" si="73"/>
        <v>-2.0772552223129903E-2</v>
      </c>
      <c r="G944">
        <f t="shared" si="74"/>
        <v>0.20081799318350027</v>
      </c>
      <c r="H944" s="1"/>
    </row>
    <row r="945" spans="1:8" x14ac:dyDescent="0.45">
      <c r="A945" s="1">
        <v>45616</v>
      </c>
      <c r="B945">
        <v>503.17</v>
      </c>
      <c r="C945">
        <f t="shared" si="70"/>
        <v>-5.7601398323592345E-4</v>
      </c>
      <c r="D945">
        <f t="shared" si="71"/>
        <v>1.5651673510016169</v>
      </c>
      <c r="E945">
        <f t="shared" si="72"/>
        <v>1.5992907801418432</v>
      </c>
      <c r="F945">
        <f t="shared" si="73"/>
        <v>-2.1336600925817795E-2</v>
      </c>
      <c r="G945">
        <f t="shared" si="74"/>
        <v>0.19170313917662454</v>
      </c>
      <c r="H945" s="1"/>
    </row>
    <row r="946" spans="1:8" x14ac:dyDescent="0.45">
      <c r="A946" s="1">
        <v>45617</v>
      </c>
      <c r="B946">
        <v>504.98</v>
      </c>
      <c r="C946">
        <f t="shared" si="70"/>
        <v>3.5971937913628071E-3</v>
      </c>
      <c r="D946">
        <f t="shared" si="71"/>
        <v>1.5707975612790837</v>
      </c>
      <c r="E946">
        <f t="shared" si="72"/>
        <v>1.5992907801418432</v>
      </c>
      <c r="F946">
        <f t="shared" si="73"/>
        <v>-1.7816159022834177E-2</v>
      </c>
      <c r="G946">
        <f t="shared" si="74"/>
        <v>0.19032431576494555</v>
      </c>
      <c r="H946" s="1"/>
    </row>
    <row r="947" spans="1:8" x14ac:dyDescent="0.45">
      <c r="A947" s="1">
        <v>45618</v>
      </c>
      <c r="B947">
        <v>505.79</v>
      </c>
      <c r="C947">
        <f t="shared" si="70"/>
        <v>1.604023921739417E-3</v>
      </c>
      <c r="D947">
        <f t="shared" si="71"/>
        <v>1.5733171581435852</v>
      </c>
      <c r="E947">
        <f t="shared" si="72"/>
        <v>1.5992907801418432</v>
      </c>
      <c r="F947">
        <f t="shared" si="73"/>
        <v>-1.6240712646360955E-2</v>
      </c>
      <c r="G947">
        <f t="shared" si="74"/>
        <v>0.18950210396370981</v>
      </c>
      <c r="H947" s="1"/>
    </row>
    <row r="948" spans="1:8" x14ac:dyDescent="0.45">
      <c r="A948" s="1">
        <v>45621</v>
      </c>
      <c r="B948">
        <v>506.59</v>
      </c>
      <c r="C948">
        <f t="shared" si="70"/>
        <v>1.5816840981432989E-3</v>
      </c>
      <c r="D948">
        <f t="shared" si="71"/>
        <v>1.5758056488739569</v>
      </c>
      <c r="E948">
        <f t="shared" si="72"/>
        <v>1.5992907801418432</v>
      </c>
      <c r="F948">
        <f t="shared" si="73"/>
        <v>-1.4684716225152883E-2</v>
      </c>
      <c r="G948">
        <f t="shared" si="74"/>
        <v>0.18947445453595438</v>
      </c>
      <c r="H948" s="1"/>
    </row>
    <row r="949" spans="1:8" x14ac:dyDescent="0.45">
      <c r="A949" s="1">
        <v>45622</v>
      </c>
      <c r="B949">
        <v>509.31</v>
      </c>
      <c r="C949">
        <f t="shared" si="70"/>
        <v>5.3692335024380089E-3</v>
      </c>
      <c r="D949">
        <f t="shared" si="71"/>
        <v>1.5842665173572221</v>
      </c>
      <c r="E949">
        <f t="shared" si="72"/>
        <v>1.5992907801418432</v>
      </c>
      <c r="F949">
        <f t="shared" si="73"/>
        <v>-9.3943283930446597E-3</v>
      </c>
      <c r="G949">
        <f t="shared" si="74"/>
        <v>0.18756284245477514</v>
      </c>
      <c r="H949" s="1"/>
    </row>
    <row r="950" spans="1:8" x14ac:dyDescent="0.45">
      <c r="A950" s="1">
        <v>45623</v>
      </c>
      <c r="B950">
        <v>505.3</v>
      </c>
      <c r="C950">
        <f t="shared" si="70"/>
        <v>-7.8733973415012759E-3</v>
      </c>
      <c r="D950">
        <f t="shared" si="71"/>
        <v>1.5717929575712324</v>
      </c>
      <c r="E950">
        <f t="shared" si="72"/>
        <v>1.5992907801418432</v>
      </c>
      <c r="F950">
        <f t="shared" si="73"/>
        <v>-1.7193760454350948E-2</v>
      </c>
      <c r="G950">
        <f t="shared" si="74"/>
        <v>0.18775660680614709</v>
      </c>
      <c r="H950" s="1"/>
    </row>
    <row r="951" spans="1:8" x14ac:dyDescent="0.45">
      <c r="A951" s="1">
        <v>45625</v>
      </c>
      <c r="B951">
        <v>509.74</v>
      </c>
      <c r="C951">
        <f t="shared" si="70"/>
        <v>8.7868592915099075E-3</v>
      </c>
      <c r="D951">
        <f t="shared" si="71"/>
        <v>1.5856040811247971</v>
      </c>
      <c r="E951">
        <f t="shared" si="72"/>
        <v>1.5992907801418432</v>
      </c>
      <c r="F951">
        <f t="shared" si="73"/>
        <v>-8.5579803166452306E-3</v>
      </c>
      <c r="G951">
        <f t="shared" si="74"/>
        <v>0.16184272733961313</v>
      </c>
      <c r="H951" s="1"/>
    </row>
    <row r="952" spans="1:8" x14ac:dyDescent="0.45">
      <c r="A952" s="1">
        <v>45628</v>
      </c>
      <c r="B952">
        <v>515.29</v>
      </c>
      <c r="C952">
        <f t="shared" si="70"/>
        <v>1.0887903637148311E-2</v>
      </c>
      <c r="D952">
        <f t="shared" si="71"/>
        <v>1.6028679855667529</v>
      </c>
      <c r="E952">
        <f t="shared" si="72"/>
        <v>1.6028679855667529</v>
      </c>
      <c r="F952">
        <f t="shared" si="73"/>
        <v>0</v>
      </c>
      <c r="G952">
        <f t="shared" si="74"/>
        <v>0.16366160377743022</v>
      </c>
      <c r="H952" s="1"/>
    </row>
    <row r="953" spans="1:8" x14ac:dyDescent="0.45">
      <c r="A953" s="1">
        <v>45629</v>
      </c>
      <c r="B953">
        <v>516.87</v>
      </c>
      <c r="C953">
        <f t="shared" si="70"/>
        <v>3.0662345475365171E-3</v>
      </c>
      <c r="D953">
        <f t="shared" si="71"/>
        <v>1.607782754759238</v>
      </c>
      <c r="E953">
        <f t="shared" si="72"/>
        <v>1.607782754759238</v>
      </c>
      <c r="F953">
        <f t="shared" si="73"/>
        <v>0</v>
      </c>
      <c r="G953">
        <f t="shared" si="74"/>
        <v>0.16224710606264867</v>
      </c>
      <c r="H953" s="1"/>
    </row>
    <row r="954" spans="1:8" x14ac:dyDescent="0.45">
      <c r="A954" s="1">
        <v>45630</v>
      </c>
      <c r="B954">
        <v>523.26</v>
      </c>
      <c r="C954">
        <f t="shared" si="70"/>
        <v>1.2362876545359613E-2</v>
      </c>
      <c r="D954">
        <f t="shared" si="71"/>
        <v>1.6276595744680846</v>
      </c>
      <c r="E954">
        <f t="shared" si="72"/>
        <v>1.6276595744680846</v>
      </c>
      <c r="F954">
        <f t="shared" si="73"/>
        <v>0</v>
      </c>
      <c r="G954">
        <f t="shared" si="74"/>
        <v>0.16194281237030231</v>
      </c>
      <c r="H954" s="1"/>
    </row>
    <row r="955" spans="1:8" x14ac:dyDescent="0.45">
      <c r="A955" s="1">
        <v>45631</v>
      </c>
      <c r="B955">
        <v>521.80999999999995</v>
      </c>
      <c r="C955">
        <f t="shared" si="70"/>
        <v>-2.7710889423996354E-3</v>
      </c>
      <c r="D955">
        <f t="shared" si="71"/>
        <v>1.6231491850192852</v>
      </c>
      <c r="E955">
        <f t="shared" si="72"/>
        <v>1.6276595744680846</v>
      </c>
      <c r="F955">
        <f t="shared" si="73"/>
        <v>-2.7710889423996354E-3</v>
      </c>
      <c r="G955">
        <f t="shared" si="74"/>
        <v>0.1357152814322955</v>
      </c>
      <c r="H955" s="1"/>
    </row>
    <row r="956" spans="1:8" x14ac:dyDescent="0.45">
      <c r="A956" s="1">
        <v>45632</v>
      </c>
      <c r="B956">
        <v>526.48</v>
      </c>
      <c r="C956">
        <f t="shared" si="70"/>
        <v>8.9496176769323643E-3</v>
      </c>
      <c r="D956">
        <f t="shared" si="71"/>
        <v>1.637675749657832</v>
      </c>
      <c r="E956">
        <f t="shared" si="72"/>
        <v>1.637675749657832</v>
      </c>
      <c r="F956">
        <f t="shared" si="73"/>
        <v>0</v>
      </c>
      <c r="G956">
        <f t="shared" si="74"/>
        <v>0.12827273993828925</v>
      </c>
      <c r="H956" s="1"/>
    </row>
    <row r="957" spans="1:8" x14ac:dyDescent="0.45">
      <c r="A957" s="1">
        <v>45635</v>
      </c>
      <c r="B957">
        <v>522.38</v>
      </c>
      <c r="C957">
        <f t="shared" si="70"/>
        <v>-7.787570278073308E-3</v>
      </c>
      <c r="D957">
        <f t="shared" si="71"/>
        <v>1.6249222346646752</v>
      </c>
      <c r="E957">
        <f t="shared" si="72"/>
        <v>1.637675749657832</v>
      </c>
      <c r="F957">
        <f t="shared" si="73"/>
        <v>-7.787570278073308E-3</v>
      </c>
      <c r="G957">
        <f t="shared" si="74"/>
        <v>0.13225035791185388</v>
      </c>
      <c r="H957" s="1"/>
    </row>
    <row r="958" spans="1:8" x14ac:dyDescent="0.45">
      <c r="A958" s="1">
        <v>45636</v>
      </c>
      <c r="B958">
        <v>520.6</v>
      </c>
      <c r="C958">
        <f t="shared" si="70"/>
        <v>-3.407481143994695E-3</v>
      </c>
      <c r="D958">
        <f t="shared" si="71"/>
        <v>1.6193853427895977</v>
      </c>
      <c r="E958">
        <f t="shared" si="72"/>
        <v>1.637675749657832</v>
      </c>
      <c r="F958">
        <f t="shared" si="73"/>
        <v>-1.1168515423187975E-2</v>
      </c>
      <c r="G958">
        <f t="shared" si="74"/>
        <v>0.13302785409677401</v>
      </c>
      <c r="H958" s="1"/>
    </row>
    <row r="959" spans="1:8" x14ac:dyDescent="0.45">
      <c r="A959" s="1">
        <v>45637</v>
      </c>
      <c r="B959">
        <v>529.91999999999996</v>
      </c>
      <c r="C959">
        <f t="shared" si="70"/>
        <v>1.7902420284287235E-2</v>
      </c>
      <c r="D959">
        <f t="shared" si="71"/>
        <v>1.6483762597984315</v>
      </c>
      <c r="E959">
        <f t="shared" si="72"/>
        <v>1.6483762597984315</v>
      </c>
      <c r="F959">
        <f t="shared" si="73"/>
        <v>0</v>
      </c>
      <c r="G959">
        <f t="shared" si="74"/>
        <v>0.14589965841446176</v>
      </c>
      <c r="H959" s="1"/>
    </row>
    <row r="960" spans="1:8" x14ac:dyDescent="0.45">
      <c r="A960" s="1">
        <v>45638</v>
      </c>
      <c r="B960">
        <v>526.5</v>
      </c>
      <c r="C960">
        <f t="shared" si="70"/>
        <v>-6.4538043478260532E-3</v>
      </c>
      <c r="D960">
        <f t="shared" si="71"/>
        <v>1.6377379619260912</v>
      </c>
      <c r="E960">
        <f t="shared" si="72"/>
        <v>1.6483762597984315</v>
      </c>
      <c r="F960">
        <f t="shared" si="73"/>
        <v>-6.4538043478260532E-3</v>
      </c>
      <c r="G960">
        <f t="shared" si="74"/>
        <v>0.14842090012774503</v>
      </c>
      <c r="H960" s="1"/>
    </row>
    <row r="961" spans="1:8" x14ac:dyDescent="0.45">
      <c r="A961" s="1">
        <v>45639</v>
      </c>
      <c r="B961">
        <v>530.53</v>
      </c>
      <c r="C961">
        <f t="shared" si="70"/>
        <v>7.6543209876542839E-3</v>
      </c>
      <c r="D961">
        <f t="shared" si="71"/>
        <v>1.6502737339803402</v>
      </c>
      <c r="E961">
        <f t="shared" si="72"/>
        <v>1.6502737339803402</v>
      </c>
      <c r="F961">
        <f t="shared" si="73"/>
        <v>0</v>
      </c>
      <c r="G961">
        <f t="shared" si="74"/>
        <v>0.14654633509642678</v>
      </c>
      <c r="H961" s="1"/>
    </row>
    <row r="962" spans="1:8" x14ac:dyDescent="0.45">
      <c r="A962" s="1">
        <v>45642</v>
      </c>
      <c r="B962">
        <v>538.16999999999996</v>
      </c>
      <c r="C962">
        <f t="shared" si="70"/>
        <v>1.4400693645976625E-2</v>
      </c>
      <c r="D962">
        <f t="shared" si="71"/>
        <v>1.6740388204553929</v>
      </c>
      <c r="E962">
        <f t="shared" si="72"/>
        <v>1.6740388204553929</v>
      </c>
      <c r="F962">
        <f t="shared" si="73"/>
        <v>0</v>
      </c>
      <c r="G962">
        <f t="shared" si="74"/>
        <v>0.11641892452255545</v>
      </c>
      <c r="H962" s="1"/>
    </row>
    <row r="963" spans="1:8" x14ac:dyDescent="0.45">
      <c r="A963" s="1">
        <v>45643</v>
      </c>
      <c r="B963">
        <v>535.79999999999995</v>
      </c>
      <c r="C963">
        <f t="shared" si="70"/>
        <v>-4.4038129215675514E-3</v>
      </c>
      <c r="D963">
        <f t="shared" si="71"/>
        <v>1.6666666666666656</v>
      </c>
      <c r="E963">
        <f t="shared" si="72"/>
        <v>1.6740388204553929</v>
      </c>
      <c r="F963">
        <f t="shared" si="73"/>
        <v>-4.4038129215675514E-3</v>
      </c>
      <c r="G963">
        <f t="shared" si="74"/>
        <v>0.11960874314676825</v>
      </c>
      <c r="H963" s="1"/>
    </row>
    <row r="964" spans="1:8" x14ac:dyDescent="0.45">
      <c r="A964" s="1">
        <v>45644</v>
      </c>
      <c r="B964">
        <v>516.47</v>
      </c>
      <c r="C964">
        <f t="shared" ref="C964:C1027" si="75">IFERROR((B964/B963)-1,"")</f>
        <v>-3.6076894363568313E-2</v>
      </c>
      <c r="D964">
        <f t="shared" ref="D964:D1027" si="76">D963*(1+C964)</f>
        <v>1.6065385093940519</v>
      </c>
      <c r="E964">
        <f t="shared" ref="E964:E1027" si="77">MAX(E963,D964)</f>
        <v>1.6740388204553929</v>
      </c>
      <c r="F964">
        <f t="shared" ref="F964:F1027" si="78">D964/E964-1</f>
        <v>-4.0321831391567531E-2</v>
      </c>
      <c r="G964">
        <f t="shared" si="74"/>
        <v>0.18355492419245487</v>
      </c>
      <c r="H964" s="1"/>
    </row>
    <row r="965" spans="1:8" x14ac:dyDescent="0.45">
      <c r="A965" s="1">
        <v>45645</v>
      </c>
      <c r="B965">
        <v>514.16999999999996</v>
      </c>
      <c r="C965">
        <f t="shared" si="75"/>
        <v>-4.4533080333806208E-3</v>
      </c>
      <c r="D965">
        <f t="shared" si="76"/>
        <v>1.599384098544232</v>
      </c>
      <c r="E965">
        <f t="shared" si="77"/>
        <v>1.6740388204553929</v>
      </c>
      <c r="F965">
        <f t="shared" si="78"/>
        <v>-4.4595573889291473E-2</v>
      </c>
      <c r="G965">
        <f t="shared" si="74"/>
        <v>0.18460487712865889</v>
      </c>
      <c r="H965" s="1"/>
    </row>
    <row r="966" spans="1:8" x14ac:dyDescent="0.45">
      <c r="A966" s="1">
        <v>45646</v>
      </c>
      <c r="B966">
        <v>518.66</v>
      </c>
      <c r="C966">
        <f t="shared" si="75"/>
        <v>8.7325203726393852E-3</v>
      </c>
      <c r="D966">
        <f t="shared" si="76"/>
        <v>1.613350752768445</v>
      </c>
      <c r="E966">
        <f t="shared" si="77"/>
        <v>1.6740388204553929</v>
      </c>
      <c r="F966">
        <f t="shared" si="78"/>
        <v>-3.625248527416991E-2</v>
      </c>
      <c r="G966">
        <f t="shared" si="74"/>
        <v>0.18640021561967274</v>
      </c>
      <c r="H966" s="1"/>
    </row>
    <row r="967" spans="1:8" x14ac:dyDescent="0.45">
      <c r="A967" s="1">
        <v>45649</v>
      </c>
      <c r="B967">
        <v>522.87</v>
      </c>
      <c r="C967">
        <f t="shared" si="75"/>
        <v>8.1170709135078845E-3</v>
      </c>
      <c r="D967">
        <f t="shared" si="76"/>
        <v>1.6264464352370278</v>
      </c>
      <c r="E967">
        <f t="shared" si="77"/>
        <v>1.6740388204553929</v>
      </c>
      <c r="F967">
        <f t="shared" si="78"/>
        <v>-2.8429678354423338E-2</v>
      </c>
      <c r="G967">
        <f t="shared" si="74"/>
        <v>0.1879206339455553</v>
      </c>
      <c r="H967" s="1"/>
    </row>
    <row r="968" spans="1:8" x14ac:dyDescent="0.45">
      <c r="A968" s="1">
        <v>45650</v>
      </c>
      <c r="B968">
        <v>529.96</v>
      </c>
      <c r="C968">
        <f t="shared" si="75"/>
        <v>1.3559775852506339E-2</v>
      </c>
      <c r="D968">
        <f t="shared" si="76"/>
        <v>1.6485006843349499</v>
      </c>
      <c r="E968">
        <f t="shared" si="77"/>
        <v>1.6740388204553929</v>
      </c>
      <c r="F968">
        <f t="shared" si="78"/>
        <v>-1.5255402567961873E-2</v>
      </c>
      <c r="G968">
        <f t="shared" si="74"/>
        <v>0.19254888600765355</v>
      </c>
      <c r="H968" s="1"/>
    </row>
    <row r="969" spans="1:8" x14ac:dyDescent="0.45">
      <c r="A969" s="1">
        <v>45652</v>
      </c>
      <c r="B969">
        <v>529.6</v>
      </c>
      <c r="C969">
        <f t="shared" si="75"/>
        <v>-6.7929655068310613E-4</v>
      </c>
      <c r="D969">
        <f t="shared" si="76"/>
        <v>1.6473808635062823</v>
      </c>
      <c r="E969">
        <f t="shared" si="77"/>
        <v>1.6740388204553929</v>
      </c>
      <c r="F969">
        <f t="shared" si="78"/>
        <v>-1.592433617630129E-2</v>
      </c>
      <c r="G969">
        <f t="shared" si="74"/>
        <v>0.19247884807491475</v>
      </c>
      <c r="H969" s="1"/>
    </row>
    <row r="970" spans="1:8" x14ac:dyDescent="0.45">
      <c r="A970" s="1">
        <v>45653</v>
      </c>
      <c r="B970">
        <v>522.55999999999995</v>
      </c>
      <c r="C970">
        <f t="shared" si="75"/>
        <v>-1.329305135951675E-2</v>
      </c>
      <c r="D970">
        <f t="shared" si="76"/>
        <v>1.6254821450790082</v>
      </c>
      <c r="E970">
        <f t="shared" si="77"/>
        <v>1.6740388204553929</v>
      </c>
      <c r="F970">
        <f t="shared" si="78"/>
        <v>-2.9005704517160225E-2</v>
      </c>
      <c r="G970">
        <f t="shared" si="74"/>
        <v>0.19708203413304493</v>
      </c>
      <c r="H970" s="1"/>
    </row>
    <row r="971" spans="1:8" x14ac:dyDescent="0.45">
      <c r="A971" s="1">
        <v>45656</v>
      </c>
      <c r="B971">
        <v>515.61</v>
      </c>
      <c r="C971">
        <f t="shared" si="75"/>
        <v>-1.3299908144519201E-2</v>
      </c>
      <c r="D971">
        <f t="shared" si="76"/>
        <v>1.6038633818589014</v>
      </c>
      <c r="E971">
        <f t="shared" si="77"/>
        <v>1.6740388204553929</v>
      </c>
      <c r="F971">
        <f t="shared" si="78"/>
        <v>-4.1919839455934138E-2</v>
      </c>
      <c r="G971">
        <f t="shared" si="74"/>
        <v>0.20215815840769638</v>
      </c>
      <c r="H971" s="1"/>
    </row>
    <row r="972" spans="1:8" x14ac:dyDescent="0.45">
      <c r="A972" s="1">
        <v>45657</v>
      </c>
      <c r="B972">
        <v>511.23</v>
      </c>
      <c r="C972">
        <f t="shared" si="75"/>
        <v>-8.4947925757840048E-3</v>
      </c>
      <c r="D972">
        <f t="shared" si="76"/>
        <v>1.5902388951101145</v>
      </c>
      <c r="E972">
        <f t="shared" si="77"/>
        <v>1.6740388204553929</v>
      </c>
      <c r="F972">
        <f t="shared" si="78"/>
        <v>-5.0058531690729935E-2</v>
      </c>
      <c r="G972">
        <f t="shared" si="74"/>
        <v>0.20084310581228504</v>
      </c>
      <c r="H972" s="1"/>
    </row>
    <row r="973" spans="1:8" x14ac:dyDescent="0.45">
      <c r="A973" s="1">
        <v>45659</v>
      </c>
      <c r="B973">
        <v>510.23</v>
      </c>
      <c r="C973">
        <f t="shared" si="75"/>
        <v>-1.9560667409972421E-3</v>
      </c>
      <c r="D973">
        <f t="shared" si="76"/>
        <v>1.5871282816971495</v>
      </c>
      <c r="E973">
        <f t="shared" si="77"/>
        <v>1.6740388204553929</v>
      </c>
      <c r="F973">
        <f t="shared" si="78"/>
        <v>-5.1916680602783649E-2</v>
      </c>
      <c r="G973">
        <f t="shared" si="74"/>
        <v>0.20051136599779948</v>
      </c>
      <c r="H973" s="1"/>
    </row>
    <row r="974" spans="1:8" x14ac:dyDescent="0.45">
      <c r="A974" s="1">
        <v>45660</v>
      </c>
      <c r="B974">
        <v>518.58000000000004</v>
      </c>
      <c r="C974">
        <f t="shared" si="75"/>
        <v>1.6365168649432604E-2</v>
      </c>
      <c r="D974">
        <f t="shared" si="76"/>
        <v>1.6131019036954075</v>
      </c>
      <c r="E974">
        <f t="shared" si="77"/>
        <v>1.6740388204553929</v>
      </c>
      <c r="F974">
        <f t="shared" si="78"/>
        <v>-3.6401137187134336E-2</v>
      </c>
      <c r="G974">
        <f t="shared" si="74"/>
        <v>0.20440073340757542</v>
      </c>
      <c r="H974" s="1"/>
    </row>
    <row r="975" spans="1:8" x14ac:dyDescent="0.45">
      <c r="A975" s="1">
        <v>45663</v>
      </c>
      <c r="B975">
        <v>524.54</v>
      </c>
      <c r="C975">
        <f t="shared" si="75"/>
        <v>1.1492922981989118E-2</v>
      </c>
      <c r="D975">
        <f t="shared" si="76"/>
        <v>1.6316411596366789</v>
      </c>
      <c r="E975">
        <f t="shared" si="77"/>
        <v>1.6740388204553929</v>
      </c>
      <c r="F975">
        <f t="shared" si="78"/>
        <v>-2.5326569671293764E-2</v>
      </c>
      <c r="G975">
        <f t="shared" si="74"/>
        <v>0.20840991345394827</v>
      </c>
      <c r="H975" s="1"/>
    </row>
    <row r="976" spans="1:8" x14ac:dyDescent="0.45">
      <c r="A976" s="1">
        <v>45664</v>
      </c>
      <c r="B976">
        <v>515.17999999999995</v>
      </c>
      <c r="C976">
        <f t="shared" si="75"/>
        <v>-1.7844206352232495E-2</v>
      </c>
      <c r="D976">
        <f t="shared" si="76"/>
        <v>1.602525818091326</v>
      </c>
      <c r="E976">
        <f t="shared" si="77"/>
        <v>1.6740388204553929</v>
      </c>
      <c r="F976">
        <f t="shared" si="78"/>
        <v>-4.2718843488117608E-2</v>
      </c>
      <c r="G976">
        <f t="shared" si="74"/>
        <v>0.2153220114945941</v>
      </c>
      <c r="H976" s="1"/>
    </row>
    <row r="977" spans="1:8" x14ac:dyDescent="0.45">
      <c r="A977" s="1">
        <v>45665</v>
      </c>
      <c r="B977">
        <v>515.27</v>
      </c>
      <c r="C977">
        <f t="shared" si="75"/>
        <v>1.7469622267940466E-4</v>
      </c>
      <c r="D977">
        <f t="shared" si="76"/>
        <v>1.6028057732984928</v>
      </c>
      <c r="E977">
        <f t="shared" si="77"/>
        <v>1.6740388204553929</v>
      </c>
      <c r="F977">
        <f t="shared" si="78"/>
        <v>-4.2551610086032698E-2</v>
      </c>
      <c r="G977">
        <f t="shared" si="74"/>
        <v>0.21384104061218834</v>
      </c>
      <c r="H977" s="1"/>
    </row>
    <row r="978" spans="1:8" x14ac:dyDescent="0.45">
      <c r="A978" s="1">
        <v>45667</v>
      </c>
      <c r="B978">
        <v>507.19</v>
      </c>
      <c r="C978">
        <f t="shared" si="75"/>
        <v>-1.5681099229530093E-2</v>
      </c>
      <c r="D978">
        <f t="shared" si="76"/>
        <v>1.5776720169217355</v>
      </c>
      <c r="E978">
        <f t="shared" si="77"/>
        <v>1.6740388204553929</v>
      </c>
      <c r="F978">
        <f t="shared" si="78"/>
        <v>-5.7565453295427393E-2</v>
      </c>
      <c r="G978">
        <f t="shared" si="74"/>
        <v>0.22031958687542572</v>
      </c>
      <c r="H978" s="1"/>
    </row>
    <row r="979" spans="1:8" x14ac:dyDescent="0.45">
      <c r="A979" s="1">
        <v>45670</v>
      </c>
      <c r="B979">
        <v>505.56</v>
      </c>
      <c r="C979">
        <f t="shared" si="75"/>
        <v>-3.2137857607602571E-3</v>
      </c>
      <c r="D979">
        <f t="shared" si="76"/>
        <v>1.5726017170586026</v>
      </c>
      <c r="E979">
        <f t="shared" si="77"/>
        <v>1.6740388204553929</v>
      </c>
      <c r="F979">
        <f t="shared" si="78"/>
        <v>-6.0594236022075032E-2</v>
      </c>
      <c r="G979">
        <f t="shared" si="74"/>
        <v>0.20845244513183225</v>
      </c>
      <c r="H979" s="1"/>
    </row>
    <row r="980" spans="1:8" x14ac:dyDescent="0.45">
      <c r="A980" s="1">
        <v>45671</v>
      </c>
      <c r="B980">
        <v>505.08</v>
      </c>
      <c r="C980">
        <f t="shared" si="75"/>
        <v>-9.4944220270598567E-4</v>
      </c>
      <c r="D980">
        <f t="shared" si="76"/>
        <v>1.5711086226203792</v>
      </c>
      <c r="E980">
        <f t="shared" si="77"/>
        <v>1.6740388204553929</v>
      </c>
      <c r="F980">
        <f t="shared" si="78"/>
        <v>-6.1486147499861032E-2</v>
      </c>
      <c r="G980">
        <f t="shared" si="74"/>
        <v>0.20790130686217922</v>
      </c>
      <c r="H980" s="1"/>
    </row>
    <row r="981" spans="1:8" x14ac:dyDescent="0.45">
      <c r="A981" s="1">
        <v>45672</v>
      </c>
      <c r="B981">
        <v>516.70000000000005</v>
      </c>
      <c r="C981">
        <f t="shared" si="75"/>
        <v>2.3006256434624284E-2</v>
      </c>
      <c r="D981">
        <f t="shared" si="76"/>
        <v>1.6072539504790331</v>
      </c>
      <c r="E981">
        <f t="shared" si="77"/>
        <v>1.6740388204553929</v>
      </c>
      <c r="F981">
        <f t="shared" si="78"/>
        <v>-3.9894457141795625E-2</v>
      </c>
      <c r="G981">
        <f t="shared" si="74"/>
        <v>0.22387718205620236</v>
      </c>
      <c r="H981" s="1"/>
    </row>
    <row r="982" spans="1:8" x14ac:dyDescent="0.45">
      <c r="A982" s="1">
        <v>45673</v>
      </c>
      <c r="B982">
        <v>513.08000000000004</v>
      </c>
      <c r="C982">
        <f t="shared" si="75"/>
        <v>-7.0059996129282487E-3</v>
      </c>
      <c r="D982">
        <f t="shared" si="76"/>
        <v>1.5959935299240995</v>
      </c>
      <c r="E982">
        <f t="shared" si="77"/>
        <v>1.6740388204553929</v>
      </c>
      <c r="F982">
        <f t="shared" si="78"/>
        <v>-4.6620956203430541E-2</v>
      </c>
      <c r="G982">
        <f t="shared" ref="G982:G1045" si="79">_xlfn.STDEV.S(C963:C982)*SQRT(252)</f>
        <v>0.21684577824056891</v>
      </c>
      <c r="H982" s="1"/>
    </row>
    <row r="983" spans="1:8" x14ac:dyDescent="0.45">
      <c r="A983" s="1">
        <v>45674</v>
      </c>
      <c r="B983">
        <v>521.74</v>
      </c>
      <c r="C983">
        <f t="shared" si="75"/>
        <v>1.6878459499493292E-2</v>
      </c>
      <c r="D983">
        <f t="shared" si="76"/>
        <v>1.6229314420803767</v>
      </c>
      <c r="E983">
        <f t="shared" si="77"/>
        <v>1.6740388204553929</v>
      </c>
      <c r="F983">
        <f t="shared" si="78"/>
        <v>-3.0529386625044563E-2</v>
      </c>
      <c r="G983">
        <f t="shared" si="79"/>
        <v>0.22702126776221926</v>
      </c>
      <c r="H983" s="1"/>
    </row>
    <row r="984" spans="1:8" x14ac:dyDescent="0.45">
      <c r="A984" s="1">
        <v>45678</v>
      </c>
      <c r="B984">
        <v>524.79999999999995</v>
      </c>
      <c r="C984">
        <f t="shared" si="75"/>
        <v>5.8649902250162977E-3</v>
      </c>
      <c r="D984">
        <f t="shared" si="76"/>
        <v>1.6324499191240496</v>
      </c>
      <c r="E984">
        <f t="shared" si="77"/>
        <v>1.6740388204553929</v>
      </c>
      <c r="F984">
        <f t="shared" si="78"/>
        <v>-2.4843450954159962E-2</v>
      </c>
      <c r="G984">
        <f t="shared" si="79"/>
        <v>0.18691005170927646</v>
      </c>
      <c r="H984" s="1"/>
    </row>
    <row r="985" spans="1:8" x14ac:dyDescent="0.45">
      <c r="A985" s="1">
        <v>45679</v>
      </c>
      <c r="B985">
        <v>531.51</v>
      </c>
      <c r="C985">
        <f t="shared" si="75"/>
        <v>1.2785823170731847E-2</v>
      </c>
      <c r="D985">
        <f t="shared" si="76"/>
        <v>1.6533221351250451</v>
      </c>
      <c r="E985">
        <f t="shared" si="77"/>
        <v>1.6740388204553929</v>
      </c>
      <c r="F985">
        <f t="shared" si="78"/>
        <v>-1.2375271754278772E-2</v>
      </c>
      <c r="G985">
        <f t="shared" si="79"/>
        <v>0.19038760806357971</v>
      </c>
      <c r="H985" s="1"/>
    </row>
    <row r="986" spans="1:8" x14ac:dyDescent="0.45">
      <c r="A986" s="1">
        <v>45680</v>
      </c>
      <c r="B986">
        <v>532.64</v>
      </c>
      <c r="C986">
        <f t="shared" si="75"/>
        <v>2.1260183251490261E-3</v>
      </c>
      <c r="D986">
        <f t="shared" si="76"/>
        <v>1.6568371282816954</v>
      </c>
      <c r="E986">
        <f t="shared" si="77"/>
        <v>1.6740388204553929</v>
      </c>
      <c r="F986">
        <f t="shared" si="78"/>
        <v>-1.0275563483658101E-2</v>
      </c>
      <c r="G986">
        <f t="shared" si="79"/>
        <v>0.18859974622477782</v>
      </c>
      <c r="H986" s="1"/>
    </row>
    <row r="987" spans="1:8" x14ac:dyDescent="0.45">
      <c r="A987" s="1">
        <v>45681</v>
      </c>
      <c r="B987">
        <v>529.63</v>
      </c>
      <c r="C987">
        <f t="shared" si="75"/>
        <v>-5.6510964253529972E-3</v>
      </c>
      <c r="D987">
        <f t="shared" si="76"/>
        <v>1.6474741819086707</v>
      </c>
      <c r="E987">
        <f t="shared" si="77"/>
        <v>1.6740388204553929</v>
      </c>
      <c r="F987">
        <f t="shared" si="78"/>
        <v>-1.5868591708940061E-2</v>
      </c>
      <c r="G987">
        <f t="shared" si="79"/>
        <v>0.18842585312573701</v>
      </c>
      <c r="H987" s="1"/>
    </row>
    <row r="988" spans="1:8" x14ac:dyDescent="0.45">
      <c r="A988" s="1">
        <v>45684</v>
      </c>
      <c r="B988">
        <v>514.21</v>
      </c>
      <c r="C988">
        <f t="shared" si="75"/>
        <v>-2.9114664954779657E-2</v>
      </c>
      <c r="D988">
        <f t="shared" si="76"/>
        <v>1.59950852308075</v>
      </c>
      <c r="E988">
        <f t="shared" si="77"/>
        <v>1.6740388204553929</v>
      </c>
      <c r="F988">
        <f t="shared" si="78"/>
        <v>-4.452124793280976E-2</v>
      </c>
      <c r="G988">
        <f t="shared" si="79"/>
        <v>0.20953172185725169</v>
      </c>
      <c r="H988" s="1"/>
    </row>
    <row r="989" spans="1:8" x14ac:dyDescent="0.45">
      <c r="A989" s="1">
        <v>45685</v>
      </c>
      <c r="B989">
        <v>521.80999999999995</v>
      </c>
      <c r="C989">
        <f t="shared" si="75"/>
        <v>1.4779953715407856E-2</v>
      </c>
      <c r="D989">
        <f t="shared" si="76"/>
        <v>1.6231491850192838</v>
      </c>
      <c r="E989">
        <f t="shared" si="77"/>
        <v>1.6740388204553929</v>
      </c>
      <c r="F989">
        <f t="shared" si="78"/>
        <v>-3.0399316201200954E-2</v>
      </c>
      <c r="G989">
        <f t="shared" si="79"/>
        <v>0.21730248117265177</v>
      </c>
      <c r="H989" s="1"/>
    </row>
    <row r="990" spans="1:8" x14ac:dyDescent="0.45">
      <c r="A990" s="1">
        <v>45686</v>
      </c>
      <c r="B990">
        <v>520.83000000000004</v>
      </c>
      <c r="C990">
        <f t="shared" si="75"/>
        <v>-1.8780782277072472E-3</v>
      </c>
      <c r="D990">
        <f t="shared" si="76"/>
        <v>1.6201007838745785</v>
      </c>
      <c r="E990">
        <f t="shared" si="77"/>
        <v>1.6740388204553929</v>
      </c>
      <c r="F990">
        <f t="shared" si="78"/>
        <v>-3.2220302135013479E-2</v>
      </c>
      <c r="G990">
        <f t="shared" si="79"/>
        <v>0.21221295869789583</v>
      </c>
      <c r="H990" s="1"/>
    </row>
    <row r="991" spans="1:8" x14ac:dyDescent="0.45">
      <c r="A991" s="1">
        <v>45687</v>
      </c>
      <c r="B991">
        <v>523.04999999999995</v>
      </c>
      <c r="C991">
        <f t="shared" si="75"/>
        <v>4.2624272795344087E-3</v>
      </c>
      <c r="D991">
        <f t="shared" si="76"/>
        <v>1.6270063456513606</v>
      </c>
      <c r="E991">
        <f t="shared" si="77"/>
        <v>1.6740388204553929</v>
      </c>
      <c r="F991">
        <f t="shared" si="78"/>
        <v>-2.8095211550254184E-2</v>
      </c>
      <c r="G991">
        <f t="shared" si="79"/>
        <v>0.20679046067849224</v>
      </c>
      <c r="H991" s="1"/>
    </row>
    <row r="992" spans="1:8" x14ac:dyDescent="0.45">
      <c r="A992" s="1">
        <v>45688</v>
      </c>
      <c r="B992">
        <v>522.29</v>
      </c>
      <c r="C992">
        <f t="shared" si="75"/>
        <v>-1.4530159640570028E-3</v>
      </c>
      <c r="D992">
        <f t="shared" si="76"/>
        <v>1.6246422794575071</v>
      </c>
      <c r="E992">
        <f t="shared" si="77"/>
        <v>1.6740388204553929</v>
      </c>
      <c r="F992">
        <f t="shared" si="78"/>
        <v>-2.9507404723415176E-2</v>
      </c>
      <c r="G992">
        <f t="shared" si="79"/>
        <v>0.20408669718316894</v>
      </c>
      <c r="H992" s="1"/>
    </row>
    <row r="993" spans="1:8" x14ac:dyDescent="0.45">
      <c r="A993" s="1">
        <v>45691</v>
      </c>
      <c r="B993">
        <v>518.11</v>
      </c>
      <c r="C993">
        <f t="shared" si="75"/>
        <v>-8.0032166038024322E-3</v>
      </c>
      <c r="D993">
        <f t="shared" si="76"/>
        <v>1.6116399153913132</v>
      </c>
      <c r="E993">
        <f t="shared" si="77"/>
        <v>1.6740388204553929</v>
      </c>
      <c r="F993">
        <f t="shared" si="78"/>
        <v>-3.7274467175800075E-2</v>
      </c>
      <c r="G993">
        <f t="shared" si="79"/>
        <v>0.20642260231199472</v>
      </c>
      <c r="H993" s="1"/>
    </row>
    <row r="994" spans="1:8" x14ac:dyDescent="0.45">
      <c r="A994" s="1">
        <v>45692</v>
      </c>
      <c r="B994">
        <v>524.47</v>
      </c>
      <c r="C994">
        <f t="shared" si="75"/>
        <v>1.2275385535890138E-2</v>
      </c>
      <c r="D994">
        <f t="shared" si="76"/>
        <v>1.631423416697771</v>
      </c>
      <c r="E994">
        <f t="shared" si="77"/>
        <v>1.6740388204553929</v>
      </c>
      <c r="F994">
        <f t="shared" si="78"/>
        <v>-2.5456640095137706E-2</v>
      </c>
      <c r="G994">
        <f t="shared" si="79"/>
        <v>0.20282390448010001</v>
      </c>
      <c r="H994" s="1"/>
    </row>
    <row r="995" spans="1:8" x14ac:dyDescent="0.45">
      <c r="A995" s="1">
        <v>45693</v>
      </c>
      <c r="B995">
        <v>526.85</v>
      </c>
      <c r="C995">
        <f t="shared" si="75"/>
        <v>4.5379144660324666E-3</v>
      </c>
      <c r="D995">
        <f t="shared" si="76"/>
        <v>1.6388266766206279</v>
      </c>
      <c r="E995">
        <f t="shared" si="77"/>
        <v>1.6740388204553929</v>
      </c>
      <c r="F995">
        <f t="shared" si="78"/>
        <v>-2.1034245684449671E-2</v>
      </c>
      <c r="G995">
        <f t="shared" si="79"/>
        <v>0.19936209271971414</v>
      </c>
      <c r="H995" s="1"/>
    </row>
    <row r="996" spans="1:8" x14ac:dyDescent="0.45">
      <c r="A996" s="1">
        <v>45694</v>
      </c>
      <c r="B996">
        <v>529.6</v>
      </c>
      <c r="C996">
        <f t="shared" si="75"/>
        <v>5.2197020024675744E-3</v>
      </c>
      <c r="D996">
        <f t="shared" si="76"/>
        <v>1.6473808635062819</v>
      </c>
      <c r="E996">
        <f t="shared" si="77"/>
        <v>1.6740388204553929</v>
      </c>
      <c r="F996">
        <f t="shared" si="78"/>
        <v>-1.5924336176301512E-2</v>
      </c>
      <c r="G996">
        <f t="shared" si="79"/>
        <v>0.18801660283230032</v>
      </c>
      <c r="H996" s="1"/>
    </row>
    <row r="997" spans="1:8" x14ac:dyDescent="0.45">
      <c r="A997" s="1">
        <v>45695</v>
      </c>
      <c r="B997">
        <v>522.91999999999996</v>
      </c>
      <c r="C997">
        <f t="shared" si="75"/>
        <v>-1.2613293051359609E-2</v>
      </c>
      <c r="D997">
        <f t="shared" si="76"/>
        <v>1.6266019659076754</v>
      </c>
      <c r="E997">
        <f t="shared" si="77"/>
        <v>1.6740388204553929</v>
      </c>
      <c r="F997">
        <f t="shared" si="78"/>
        <v>-2.833677090882103E-2</v>
      </c>
      <c r="G997">
        <f t="shared" si="79"/>
        <v>0.19453201092190014</v>
      </c>
      <c r="H997" s="1"/>
    </row>
    <row r="998" spans="1:8" x14ac:dyDescent="0.45">
      <c r="A998" s="1">
        <v>45698</v>
      </c>
      <c r="B998">
        <v>529.25</v>
      </c>
      <c r="C998">
        <f t="shared" si="75"/>
        <v>1.2105102118870947E-2</v>
      </c>
      <c r="D998">
        <f t="shared" si="76"/>
        <v>1.6462921488117439</v>
      </c>
      <c r="E998">
        <f t="shared" si="77"/>
        <v>1.6740388204553929</v>
      </c>
      <c r="F998">
        <f t="shared" si="78"/>
        <v>-1.6574688295520557E-2</v>
      </c>
      <c r="G998">
        <f t="shared" si="79"/>
        <v>0.18819348549867498</v>
      </c>
      <c r="H998" s="1"/>
    </row>
    <row r="999" spans="1:8" x14ac:dyDescent="0.45">
      <c r="A999" s="1">
        <v>45699</v>
      </c>
      <c r="B999">
        <v>527.99</v>
      </c>
      <c r="C999">
        <f t="shared" si="75"/>
        <v>-2.3807274444969106E-3</v>
      </c>
      <c r="D999">
        <f t="shared" si="76"/>
        <v>1.642372775911408</v>
      </c>
      <c r="E999">
        <f t="shared" si="77"/>
        <v>1.6740388204553929</v>
      </c>
      <c r="F999">
        <f t="shared" si="78"/>
        <v>-1.8915955924708294E-2</v>
      </c>
      <c r="G999">
        <f t="shared" si="79"/>
        <v>0.18789875827189154</v>
      </c>
      <c r="H999" s="1"/>
    </row>
    <row r="1000" spans="1:8" x14ac:dyDescent="0.45">
      <c r="A1000" s="1">
        <v>45700</v>
      </c>
      <c r="B1000">
        <v>528.29999999999995</v>
      </c>
      <c r="C1000">
        <f t="shared" si="75"/>
        <v>5.8713233205165416E-4</v>
      </c>
      <c r="D1000">
        <f t="shared" si="76"/>
        <v>1.6433370660694269</v>
      </c>
      <c r="E1000">
        <f t="shared" si="77"/>
        <v>1.6740388204553929</v>
      </c>
      <c r="F1000">
        <f t="shared" si="78"/>
        <v>-1.8339929761971741E-2</v>
      </c>
      <c r="G1000">
        <f t="shared" si="79"/>
        <v>0.18763184014665574</v>
      </c>
      <c r="H1000" s="1"/>
    </row>
    <row r="1001" spans="1:8" x14ac:dyDescent="0.45">
      <c r="A1001" s="1">
        <v>45701</v>
      </c>
      <c r="B1001">
        <v>535.9</v>
      </c>
      <c r="C1001">
        <f t="shared" si="75"/>
        <v>1.4385765663448735E-2</v>
      </c>
      <c r="D1001">
        <f t="shared" si="76"/>
        <v>1.666977728007961</v>
      </c>
      <c r="E1001">
        <f t="shared" si="77"/>
        <v>1.6740388204553929</v>
      </c>
      <c r="F1001">
        <f t="shared" si="78"/>
        <v>-4.217998030362935E-3</v>
      </c>
      <c r="G1001">
        <f t="shared" si="79"/>
        <v>0.17723124772300264</v>
      </c>
      <c r="H1001" s="1"/>
    </row>
    <row r="1002" spans="1:8" x14ac:dyDescent="0.45">
      <c r="A1002" s="1">
        <v>45702</v>
      </c>
      <c r="B1002">
        <v>538.15</v>
      </c>
      <c r="C1002">
        <f t="shared" si="75"/>
        <v>4.1985445045717995E-3</v>
      </c>
      <c r="D1002">
        <f t="shared" si="76"/>
        <v>1.6739766081871323</v>
      </c>
      <c r="E1002">
        <f t="shared" si="77"/>
        <v>1.6740388204553929</v>
      </c>
      <c r="F1002">
        <f t="shared" si="78"/>
        <v>-3.7162978241855882E-5</v>
      </c>
      <c r="G1002">
        <f t="shared" si="79"/>
        <v>0.17421272492495266</v>
      </c>
      <c r="H1002" s="1"/>
    </row>
    <row r="1003" spans="1:8" x14ac:dyDescent="0.45">
      <c r="A1003" s="1">
        <v>45706</v>
      </c>
      <c r="B1003">
        <v>539.37</v>
      </c>
      <c r="C1003">
        <f t="shared" si="75"/>
        <v>2.2670259221406752E-3</v>
      </c>
      <c r="D1003">
        <f t="shared" si="76"/>
        <v>1.6777715565509497</v>
      </c>
      <c r="E1003">
        <f t="shared" si="77"/>
        <v>1.6777715565509497</v>
      </c>
      <c r="F1003">
        <f t="shared" si="78"/>
        <v>0</v>
      </c>
      <c r="G1003">
        <f t="shared" si="79"/>
        <v>0.16566871669210076</v>
      </c>
      <c r="H1003" s="1"/>
    </row>
    <row r="1004" spans="1:8" x14ac:dyDescent="0.45">
      <c r="A1004" s="1">
        <v>45707</v>
      </c>
      <c r="B1004">
        <v>539.52</v>
      </c>
      <c r="C1004">
        <f t="shared" si="75"/>
        <v>2.7810223037993964E-4</v>
      </c>
      <c r="D1004">
        <f t="shared" si="76"/>
        <v>1.6782381485628945</v>
      </c>
      <c r="E1004">
        <f t="shared" si="77"/>
        <v>1.6782381485628945</v>
      </c>
      <c r="F1004">
        <f t="shared" si="78"/>
        <v>0</v>
      </c>
      <c r="G1004">
        <f t="shared" si="79"/>
        <v>0.16499817370799552</v>
      </c>
      <c r="H1004" s="1"/>
    </row>
    <row r="1005" spans="1:8" x14ac:dyDescent="0.45">
      <c r="A1005" s="1">
        <v>45708</v>
      </c>
      <c r="B1005">
        <v>537.23</v>
      </c>
      <c r="C1005">
        <f t="shared" si="75"/>
        <v>-4.2445136417555984E-3</v>
      </c>
      <c r="D1005">
        <f t="shared" si="76"/>
        <v>1.6711148438472048</v>
      </c>
      <c r="E1005">
        <f t="shared" si="77"/>
        <v>1.6782381485628945</v>
      </c>
      <c r="F1005">
        <f t="shared" si="78"/>
        <v>-4.2445136417555984E-3</v>
      </c>
      <c r="G1005">
        <f t="shared" si="79"/>
        <v>0.16047236988734856</v>
      </c>
      <c r="H1005" s="1"/>
    </row>
    <row r="1006" spans="1:8" x14ac:dyDescent="0.45">
      <c r="A1006" s="1">
        <v>45709</v>
      </c>
      <c r="B1006">
        <v>526.08000000000004</v>
      </c>
      <c r="C1006">
        <f t="shared" si="75"/>
        <v>-2.0754611618859609E-2</v>
      </c>
      <c r="D1006">
        <f t="shared" si="76"/>
        <v>1.6364315042926447</v>
      </c>
      <c r="E1006">
        <f t="shared" si="77"/>
        <v>1.6782381485628945</v>
      </c>
      <c r="F1006">
        <f t="shared" si="78"/>
        <v>-2.4911032028469671E-2</v>
      </c>
      <c r="G1006">
        <f t="shared" si="79"/>
        <v>0.17723430525964554</v>
      </c>
      <c r="H1006" s="1"/>
    </row>
    <row r="1007" spans="1:8" x14ac:dyDescent="0.45">
      <c r="A1007" s="1">
        <v>45712</v>
      </c>
      <c r="B1007">
        <v>519.87</v>
      </c>
      <c r="C1007">
        <f t="shared" si="75"/>
        <v>-1.1804288321167977E-2</v>
      </c>
      <c r="D1007">
        <f t="shared" si="76"/>
        <v>1.6171145949981318</v>
      </c>
      <c r="E1007">
        <f t="shared" si="77"/>
        <v>1.6782381485628945</v>
      </c>
      <c r="F1007">
        <f t="shared" si="78"/>
        <v>-3.6421263345195687E-2</v>
      </c>
      <c r="G1007">
        <f t="shared" si="79"/>
        <v>0.18088688466297656</v>
      </c>
      <c r="H1007" s="1"/>
    </row>
    <row r="1008" spans="1:8" x14ac:dyDescent="0.45">
      <c r="A1008" s="1">
        <v>45713</v>
      </c>
      <c r="B1008">
        <v>513.32000000000005</v>
      </c>
      <c r="C1008">
        <f t="shared" si="75"/>
        <v>-1.2599303672071738E-2</v>
      </c>
      <c r="D1008">
        <f t="shared" si="76"/>
        <v>1.596740077143211</v>
      </c>
      <c r="E1008">
        <f t="shared" si="77"/>
        <v>1.6782381485628945</v>
      </c>
      <c r="F1008">
        <f t="shared" si="78"/>
        <v>-4.8561684460260768E-2</v>
      </c>
      <c r="G1008">
        <f t="shared" si="79"/>
        <v>0.1542139516734439</v>
      </c>
      <c r="H1008" s="1"/>
    </row>
    <row r="1009" spans="1:8" x14ac:dyDescent="0.45">
      <c r="A1009" s="1">
        <v>45714</v>
      </c>
      <c r="B1009">
        <v>514.55999999999995</v>
      </c>
      <c r="C1009">
        <f t="shared" si="75"/>
        <v>2.4156471596663565E-3</v>
      </c>
      <c r="D1009">
        <f t="shared" si="76"/>
        <v>1.6005972377752875</v>
      </c>
      <c r="E1009">
        <f t="shared" si="77"/>
        <v>1.6782381485628945</v>
      </c>
      <c r="F1009">
        <f t="shared" si="78"/>
        <v>-4.6263345195729388E-2</v>
      </c>
      <c r="G1009">
        <f t="shared" si="79"/>
        <v>0.14438484337526275</v>
      </c>
      <c r="H1009" s="1"/>
    </row>
    <row r="1010" spans="1:8" x14ac:dyDescent="0.45">
      <c r="A1010" s="1">
        <v>45715</v>
      </c>
      <c r="B1010">
        <v>500.27</v>
      </c>
      <c r="C1010">
        <f t="shared" si="75"/>
        <v>-2.7771299751243705E-2</v>
      </c>
      <c r="D1010">
        <f t="shared" si="76"/>
        <v>1.5561465721040173</v>
      </c>
      <c r="E1010">
        <f t="shared" si="77"/>
        <v>1.6782381485628945</v>
      </c>
      <c r="F1010">
        <f t="shared" si="78"/>
        <v>-7.2749851720047221E-2</v>
      </c>
      <c r="G1010">
        <f t="shared" si="79"/>
        <v>0.17358416688358769</v>
      </c>
      <c r="H1010" s="1"/>
    </row>
    <row r="1011" spans="1:8" x14ac:dyDescent="0.45">
      <c r="A1011" s="1">
        <v>45716</v>
      </c>
      <c r="B1011">
        <v>508.17</v>
      </c>
      <c r="C1011">
        <f t="shared" si="75"/>
        <v>1.5791472604793411E-2</v>
      </c>
      <c r="D1011">
        <f t="shared" si="76"/>
        <v>1.5807204180664411</v>
      </c>
      <c r="E1011">
        <f t="shared" si="77"/>
        <v>1.6782381485628945</v>
      </c>
      <c r="F1011">
        <f t="shared" si="78"/>
        <v>-5.8107206405693779E-2</v>
      </c>
      <c r="G1011">
        <f t="shared" si="79"/>
        <v>0.18359614420799991</v>
      </c>
      <c r="H1011" s="1"/>
    </row>
    <row r="1012" spans="1:8" x14ac:dyDescent="0.45">
      <c r="A1012" s="1">
        <v>45719</v>
      </c>
      <c r="B1012">
        <v>497.05</v>
      </c>
      <c r="C1012">
        <f t="shared" si="75"/>
        <v>-2.188244091544167E-2</v>
      </c>
      <c r="D1012">
        <f t="shared" si="76"/>
        <v>1.5461303969142699</v>
      </c>
      <c r="E1012">
        <f t="shared" si="77"/>
        <v>1.6782381485628945</v>
      </c>
      <c r="F1012">
        <f t="shared" si="78"/>
        <v>-7.8718119810201492E-2</v>
      </c>
      <c r="G1012">
        <f t="shared" si="79"/>
        <v>0.19750160311858461</v>
      </c>
      <c r="H1012" s="1"/>
    </row>
    <row r="1013" spans="1:8" x14ac:dyDescent="0.45">
      <c r="A1013" s="1">
        <v>45720</v>
      </c>
      <c r="B1013">
        <v>495.55</v>
      </c>
      <c r="C1013">
        <f t="shared" si="75"/>
        <v>-3.0178050497937647E-3</v>
      </c>
      <c r="D1013">
        <f t="shared" si="76"/>
        <v>1.5414644767948225</v>
      </c>
      <c r="E1013">
        <f t="shared" si="77"/>
        <v>1.6782381485628945</v>
      </c>
      <c r="F1013">
        <f t="shared" si="78"/>
        <v>-8.1498368920521758E-2</v>
      </c>
      <c r="G1013">
        <f t="shared" si="79"/>
        <v>0.19641537381417298</v>
      </c>
      <c r="H1013" s="1"/>
    </row>
    <row r="1014" spans="1:8" x14ac:dyDescent="0.45">
      <c r="A1014" s="1">
        <v>45721</v>
      </c>
      <c r="B1014">
        <v>502.01</v>
      </c>
      <c r="C1014">
        <f t="shared" si="75"/>
        <v>1.3036020583190311E-2</v>
      </c>
      <c r="D1014">
        <f t="shared" si="76"/>
        <v>1.5615590394425765</v>
      </c>
      <c r="E1014">
        <f t="shared" si="77"/>
        <v>1.6782381485628945</v>
      </c>
      <c r="F1014">
        <f t="shared" si="78"/>
        <v>-6.9524762752075753E-2</v>
      </c>
      <c r="G1014">
        <f t="shared" si="79"/>
        <v>0.19717341179556966</v>
      </c>
      <c r="H1014" s="1"/>
    </row>
    <row r="1015" spans="1:8" x14ac:dyDescent="0.45">
      <c r="A1015" s="1">
        <v>45722</v>
      </c>
      <c r="B1015">
        <v>488.2</v>
      </c>
      <c r="C1015">
        <f t="shared" si="75"/>
        <v>-2.7509412163104319E-2</v>
      </c>
      <c r="D1015">
        <f t="shared" si="76"/>
        <v>1.5186014682095292</v>
      </c>
      <c r="E1015">
        <f t="shared" si="77"/>
        <v>1.6782381485628945</v>
      </c>
      <c r="F1015">
        <f t="shared" si="78"/>
        <v>-9.5121589561091291E-2</v>
      </c>
      <c r="G1015">
        <f t="shared" si="79"/>
        <v>0.21485954065598004</v>
      </c>
      <c r="H1015" s="1"/>
    </row>
    <row r="1016" spans="1:8" x14ac:dyDescent="0.45">
      <c r="A1016" s="1">
        <v>45723</v>
      </c>
      <c r="B1016">
        <v>491.79</v>
      </c>
      <c r="C1016">
        <f t="shared" si="75"/>
        <v>7.3535436296601198E-3</v>
      </c>
      <c r="D1016">
        <f t="shared" si="76"/>
        <v>1.529768570362074</v>
      </c>
      <c r="E1016">
        <f t="shared" si="77"/>
        <v>1.6782381485628945</v>
      </c>
      <c r="F1016">
        <f t="shared" si="78"/>
        <v>-8.8467526690391152E-2</v>
      </c>
      <c r="G1016">
        <f t="shared" si="79"/>
        <v>0.21616591958898781</v>
      </c>
      <c r="H1016" s="1"/>
    </row>
    <row r="1017" spans="1:8" x14ac:dyDescent="0.45">
      <c r="A1017" s="1">
        <v>45726</v>
      </c>
      <c r="B1017">
        <v>472.73</v>
      </c>
      <c r="C1017">
        <f t="shared" si="75"/>
        <v>-3.8756379755586767E-2</v>
      </c>
      <c r="D1017">
        <f t="shared" si="76"/>
        <v>1.4704802787109605</v>
      </c>
      <c r="E1017">
        <f t="shared" si="77"/>
        <v>1.6782381485628945</v>
      </c>
      <c r="F1017">
        <f t="shared" si="78"/>
        <v>-0.12379522538552756</v>
      </c>
      <c r="G1017">
        <f t="shared" si="79"/>
        <v>0.24816189207987543</v>
      </c>
      <c r="H1017" s="1"/>
    </row>
    <row r="1018" spans="1:8" x14ac:dyDescent="0.45">
      <c r="A1018" s="1">
        <v>45727</v>
      </c>
      <c r="B1018">
        <v>471.6</v>
      </c>
      <c r="C1018">
        <f t="shared" si="75"/>
        <v>-2.3903708247836608E-3</v>
      </c>
      <c r="D1018">
        <f t="shared" si="76"/>
        <v>1.4669652855543101</v>
      </c>
      <c r="E1018">
        <f t="shared" si="77"/>
        <v>1.6782381485628945</v>
      </c>
      <c r="F1018">
        <f t="shared" si="78"/>
        <v>-0.12588967971530218</v>
      </c>
      <c r="G1018">
        <f t="shared" si="79"/>
        <v>0.24018190865580688</v>
      </c>
      <c r="H1018" s="1"/>
    </row>
    <row r="1019" spans="1:8" x14ac:dyDescent="0.45">
      <c r="A1019" s="1">
        <v>45728</v>
      </c>
      <c r="B1019">
        <v>476.92</v>
      </c>
      <c r="C1019">
        <f t="shared" si="75"/>
        <v>1.128074639525023E-2</v>
      </c>
      <c r="D1019">
        <f t="shared" si="76"/>
        <v>1.483513748911284</v>
      </c>
      <c r="E1019">
        <f t="shared" si="77"/>
        <v>1.6782381485628945</v>
      </c>
      <c r="F1019">
        <f t="shared" si="78"/>
        <v>-0.11602906287069958</v>
      </c>
      <c r="G1019">
        <f t="shared" si="79"/>
        <v>0.24742685023325883</v>
      </c>
      <c r="H1019" s="1"/>
    </row>
    <row r="1020" spans="1:8" x14ac:dyDescent="0.45">
      <c r="A1020" s="1">
        <v>45729</v>
      </c>
      <c r="B1020">
        <v>468.34</v>
      </c>
      <c r="C1020">
        <f t="shared" si="75"/>
        <v>-1.7990438647991325E-2</v>
      </c>
      <c r="D1020">
        <f t="shared" si="76"/>
        <v>1.4568246858280438</v>
      </c>
      <c r="E1020">
        <f t="shared" si="77"/>
        <v>1.6782381485628945</v>
      </c>
      <c r="F1020">
        <f t="shared" si="78"/>
        <v>-0.13193208778173171</v>
      </c>
      <c r="G1020">
        <f t="shared" si="79"/>
        <v>0.25067230744327046</v>
      </c>
      <c r="H1020" s="1"/>
    </row>
    <row r="1021" spans="1:8" x14ac:dyDescent="0.45">
      <c r="A1021" s="1">
        <v>45730</v>
      </c>
      <c r="B1021">
        <v>479.66</v>
      </c>
      <c r="C1021">
        <f t="shared" si="75"/>
        <v>2.4170474441645107E-2</v>
      </c>
      <c r="D1021">
        <f t="shared" si="76"/>
        <v>1.4920368296628082</v>
      </c>
      <c r="E1021">
        <f t="shared" si="77"/>
        <v>1.6782381485628945</v>
      </c>
      <c r="F1021">
        <f t="shared" si="78"/>
        <v>-0.11095047449584783</v>
      </c>
      <c r="G1021">
        <f t="shared" si="79"/>
        <v>0.26325736707341746</v>
      </c>
      <c r="H1021" s="1"/>
    </row>
    <row r="1022" spans="1:8" x14ac:dyDescent="0.45">
      <c r="A1022" s="1">
        <v>45733</v>
      </c>
      <c r="B1022">
        <v>482.77</v>
      </c>
      <c r="C1022">
        <f t="shared" si="75"/>
        <v>6.4837593295250517E-3</v>
      </c>
      <c r="D1022">
        <f t="shared" si="76"/>
        <v>1.5017108373771293</v>
      </c>
      <c r="E1022">
        <f t="shared" si="77"/>
        <v>1.6782381485628945</v>
      </c>
      <c r="F1022">
        <f t="shared" si="78"/>
        <v>-0.10518609134045054</v>
      </c>
      <c r="G1022">
        <f t="shared" si="79"/>
        <v>0.26448416689421045</v>
      </c>
      <c r="H1022" s="1"/>
    </row>
    <row r="1023" spans="1:8" x14ac:dyDescent="0.45">
      <c r="A1023" s="1">
        <v>45734</v>
      </c>
      <c r="B1023">
        <v>474.54</v>
      </c>
      <c r="C1023">
        <f t="shared" si="75"/>
        <v>-1.7047455309981863E-2</v>
      </c>
      <c r="D1023">
        <f t="shared" si="76"/>
        <v>1.4761104889884273</v>
      </c>
      <c r="E1023">
        <f t="shared" si="77"/>
        <v>1.6782381485628945</v>
      </c>
      <c r="F1023">
        <f t="shared" si="78"/>
        <v>-0.12044039145907437</v>
      </c>
      <c r="G1023">
        <f t="shared" si="79"/>
        <v>0.26605357863335394</v>
      </c>
      <c r="H1023" s="1"/>
    </row>
    <row r="1024" spans="1:8" x14ac:dyDescent="0.45">
      <c r="A1024" s="1">
        <v>45735</v>
      </c>
      <c r="B1024">
        <v>480.89</v>
      </c>
      <c r="C1024">
        <f t="shared" si="75"/>
        <v>1.3381379862603682E-2</v>
      </c>
      <c r="D1024">
        <f t="shared" si="76"/>
        <v>1.4958628841607551</v>
      </c>
      <c r="E1024">
        <f t="shared" si="77"/>
        <v>1.6782381485628945</v>
      </c>
      <c r="F1024">
        <f t="shared" si="78"/>
        <v>-0.10867067022538524</v>
      </c>
      <c r="G1024">
        <f t="shared" si="79"/>
        <v>0.27425572608047954</v>
      </c>
      <c r="H1024" s="1"/>
    </row>
    <row r="1025" spans="1:8" x14ac:dyDescent="0.45">
      <c r="A1025" s="1">
        <v>45736</v>
      </c>
      <c r="B1025">
        <v>479.26</v>
      </c>
      <c r="C1025">
        <f t="shared" si="75"/>
        <v>-3.3895485454054075E-3</v>
      </c>
      <c r="D1025">
        <f t="shared" si="76"/>
        <v>1.490792584297622</v>
      </c>
      <c r="E1025">
        <f t="shared" si="77"/>
        <v>1.6782381485628945</v>
      </c>
      <c r="F1025">
        <f t="shared" si="78"/>
        <v>-0.11169187425860005</v>
      </c>
      <c r="G1025">
        <f t="shared" si="79"/>
        <v>0.27432825322198223</v>
      </c>
      <c r="H1025" s="1"/>
    </row>
    <row r="1026" spans="1:8" x14ac:dyDescent="0.45">
      <c r="A1026" s="1">
        <v>45737</v>
      </c>
      <c r="B1026">
        <v>480.84</v>
      </c>
      <c r="C1026">
        <f t="shared" si="75"/>
        <v>3.2967491549471539E-3</v>
      </c>
      <c r="D1026">
        <f t="shared" si="76"/>
        <v>1.4957073534901066</v>
      </c>
      <c r="E1026">
        <f t="shared" si="77"/>
        <v>1.6782381485628945</v>
      </c>
      <c r="F1026">
        <f t="shared" si="78"/>
        <v>-0.10876334519572939</v>
      </c>
      <c r="G1026">
        <f t="shared" si="79"/>
        <v>0.26989673174692086</v>
      </c>
      <c r="H1026" s="1"/>
    </row>
    <row r="1027" spans="1:8" x14ac:dyDescent="0.45">
      <c r="A1027" s="1">
        <v>45740</v>
      </c>
      <c r="B1027">
        <v>490.66</v>
      </c>
      <c r="C1027">
        <f t="shared" si="75"/>
        <v>2.0422593794193533E-2</v>
      </c>
      <c r="D1027">
        <f t="shared" si="76"/>
        <v>1.5262535772054233</v>
      </c>
      <c r="E1027">
        <f t="shared" si="77"/>
        <v>1.6782381485628945</v>
      </c>
      <c r="F1027">
        <f t="shared" si="78"/>
        <v>-9.0561981020165883E-2</v>
      </c>
      <c r="G1027">
        <f t="shared" si="79"/>
        <v>0.28205618910746888</v>
      </c>
      <c r="H1027" s="1"/>
    </row>
    <row r="1028" spans="1:8" x14ac:dyDescent="0.45">
      <c r="A1028" s="1">
        <v>45741</v>
      </c>
      <c r="B1028">
        <v>493.46</v>
      </c>
      <c r="C1028">
        <f t="shared" ref="C1028:C1091" si="80">IFERROR((B1028/B1027)-1,"")</f>
        <v>5.7065992744464999E-3</v>
      </c>
      <c r="D1028">
        <f t="shared" ref="D1028:D1091" si="81">D1027*(1+C1028)</f>
        <v>1.5349632947617251</v>
      </c>
      <c r="E1028">
        <f t="shared" ref="E1028:E1091" si="82">MAX(E1027,D1028)</f>
        <v>1.6782381485628945</v>
      </c>
      <c r="F1028">
        <f t="shared" ref="F1028:F1091" si="83">D1028/E1028-1</f>
        <v>-8.5372182680901521E-2</v>
      </c>
      <c r="G1028">
        <f t="shared" si="79"/>
        <v>0.28104906538308777</v>
      </c>
      <c r="H1028" s="1"/>
    </row>
    <row r="1029" spans="1:8" x14ac:dyDescent="0.45">
      <c r="A1029" s="1">
        <v>45742</v>
      </c>
      <c r="B1029">
        <v>484.38</v>
      </c>
      <c r="C1029">
        <f t="shared" si="80"/>
        <v>-1.8400680906253797E-2</v>
      </c>
      <c r="D1029">
        <f t="shared" si="81"/>
        <v>1.5067189249720025</v>
      </c>
      <c r="E1029">
        <f t="shared" si="82"/>
        <v>1.6782381485628945</v>
      </c>
      <c r="F1029">
        <f t="shared" si="83"/>
        <v>-0.10220195729537374</v>
      </c>
      <c r="G1029">
        <f t="shared" si="79"/>
        <v>0.28654688099245784</v>
      </c>
      <c r="H1029" s="1"/>
    </row>
    <row r="1030" spans="1:8" x14ac:dyDescent="0.45">
      <c r="A1030" s="1">
        <v>45743</v>
      </c>
      <c r="B1030">
        <v>481.62</v>
      </c>
      <c r="C1030">
        <f t="shared" si="80"/>
        <v>-5.6980056980057148E-3</v>
      </c>
      <c r="D1030">
        <f t="shared" si="81"/>
        <v>1.4981336319522189</v>
      </c>
      <c r="E1030">
        <f t="shared" si="82"/>
        <v>1.6782381485628945</v>
      </c>
      <c r="F1030">
        <f t="shared" si="83"/>
        <v>-0.10731761565836306</v>
      </c>
      <c r="G1030">
        <f t="shared" si="79"/>
        <v>0.27140933111785959</v>
      </c>
      <c r="H1030" s="1"/>
    </row>
    <row r="1031" spans="1:8" x14ac:dyDescent="0.45">
      <c r="A1031" s="1">
        <v>45744</v>
      </c>
      <c r="B1031">
        <v>468.94</v>
      </c>
      <c r="C1031">
        <f t="shared" si="80"/>
        <v>-2.6327810306880917E-2</v>
      </c>
      <c r="D1031">
        <f t="shared" si="81"/>
        <v>1.4586910538758224</v>
      </c>
      <c r="E1031">
        <f t="shared" si="82"/>
        <v>1.6782381485628945</v>
      </c>
      <c r="F1031">
        <f t="shared" si="83"/>
        <v>-0.13081998813760387</v>
      </c>
      <c r="G1031">
        <f t="shared" si="79"/>
        <v>0.27642071082766984</v>
      </c>
      <c r="H1031" s="1"/>
    </row>
    <row r="1032" spans="1:8" x14ac:dyDescent="0.45">
      <c r="A1032" s="1">
        <v>45747</v>
      </c>
      <c r="B1032">
        <v>468.92</v>
      </c>
      <c r="C1032">
        <f t="shared" si="80"/>
        <v>-4.2649379451531466E-5</v>
      </c>
      <c r="D1032">
        <f t="shared" si="81"/>
        <v>1.4586288416075632</v>
      </c>
      <c r="E1032">
        <f t="shared" si="82"/>
        <v>1.6782381485628945</v>
      </c>
      <c r="F1032">
        <f t="shared" si="83"/>
        <v>-0.13085705812574144</v>
      </c>
      <c r="G1032">
        <f t="shared" si="79"/>
        <v>0.268290253520515</v>
      </c>
      <c r="H1032" s="1"/>
    </row>
    <row r="1033" spans="1:8" x14ac:dyDescent="0.45">
      <c r="A1033" s="1">
        <v>45748</v>
      </c>
      <c r="B1033">
        <v>472.7</v>
      </c>
      <c r="C1033">
        <f t="shared" si="80"/>
        <v>8.0610765162500986E-3</v>
      </c>
      <c r="D1033">
        <f t="shared" si="81"/>
        <v>1.4703869603085711</v>
      </c>
      <c r="E1033">
        <f t="shared" si="82"/>
        <v>1.6782381485628945</v>
      </c>
      <c r="F1033">
        <f t="shared" si="83"/>
        <v>-0.12385083036773425</v>
      </c>
      <c r="G1033">
        <f t="shared" si="79"/>
        <v>0.27102388750802331</v>
      </c>
      <c r="H1033" s="1"/>
    </row>
    <row r="1034" spans="1:8" x14ac:dyDescent="0.45">
      <c r="A1034" s="1">
        <v>45749</v>
      </c>
      <c r="B1034">
        <v>476.15</v>
      </c>
      <c r="C1034">
        <f t="shared" si="80"/>
        <v>7.2984979902686042E-3</v>
      </c>
      <c r="D1034">
        <f t="shared" si="81"/>
        <v>1.4811185765833004</v>
      </c>
      <c r="E1034">
        <f t="shared" si="82"/>
        <v>1.6782381485628945</v>
      </c>
      <c r="F1034">
        <f t="shared" si="83"/>
        <v>-0.11745625741399768</v>
      </c>
      <c r="G1034">
        <f t="shared" si="79"/>
        <v>0.26748297095680362</v>
      </c>
      <c r="H1034" s="1"/>
    </row>
    <row r="1035" spans="1:8" x14ac:dyDescent="0.45">
      <c r="A1035" s="1">
        <v>45750</v>
      </c>
      <c r="B1035">
        <v>450.66</v>
      </c>
      <c r="C1035">
        <f t="shared" si="80"/>
        <v>-5.3533550351779757E-2</v>
      </c>
      <c r="D1035">
        <f t="shared" si="81"/>
        <v>1.4018290406868219</v>
      </c>
      <c r="E1035">
        <f t="shared" si="82"/>
        <v>1.6782381485628945</v>
      </c>
      <c r="F1035">
        <f t="shared" si="83"/>
        <v>-0.16470195729537351</v>
      </c>
      <c r="G1035">
        <f t="shared" si="79"/>
        <v>0.31199649528649487</v>
      </c>
      <c r="H1035" s="1"/>
    </row>
    <row r="1036" spans="1:8" x14ac:dyDescent="0.45">
      <c r="A1036" s="1">
        <v>45751</v>
      </c>
      <c r="B1036">
        <v>422.67</v>
      </c>
      <c r="C1036">
        <f t="shared" si="80"/>
        <v>-6.210890693649318E-2</v>
      </c>
      <c r="D1036">
        <f t="shared" si="81"/>
        <v>1.3147629712579305</v>
      </c>
      <c r="E1036">
        <f t="shared" si="82"/>
        <v>1.6782381485628945</v>
      </c>
      <c r="F1036">
        <f t="shared" si="83"/>
        <v>-0.21658140569395012</v>
      </c>
      <c r="G1036">
        <f t="shared" si="79"/>
        <v>0.37091063227429139</v>
      </c>
      <c r="H1036" s="1"/>
    </row>
    <row r="1037" spans="1:8" x14ac:dyDescent="0.45">
      <c r="A1037" s="1">
        <v>45754</v>
      </c>
      <c r="B1037">
        <v>423.69</v>
      </c>
      <c r="C1037">
        <f t="shared" si="80"/>
        <v>2.413230179572734E-3</v>
      </c>
      <c r="D1037">
        <f t="shared" si="81"/>
        <v>1.317935796939155</v>
      </c>
      <c r="E1037">
        <f t="shared" si="82"/>
        <v>1.6782381485628945</v>
      </c>
      <c r="F1037">
        <f t="shared" si="83"/>
        <v>-0.21469083629893226</v>
      </c>
      <c r="G1037">
        <f t="shared" si="79"/>
        <v>0.3529240121779727</v>
      </c>
      <c r="H1037" s="1"/>
    </row>
    <row r="1038" spans="1:8" x14ac:dyDescent="0.45">
      <c r="A1038" s="1">
        <v>45755</v>
      </c>
      <c r="B1038">
        <v>416.06</v>
      </c>
      <c r="C1038">
        <f t="shared" si="80"/>
        <v>-1.8008449573980956E-2</v>
      </c>
      <c r="D1038">
        <f t="shared" si="81"/>
        <v>1.2942018165982319</v>
      </c>
      <c r="E1038">
        <f t="shared" si="82"/>
        <v>1.6782381485628945</v>
      </c>
      <c r="F1038">
        <f t="shared" si="83"/>
        <v>-0.22883303677342803</v>
      </c>
      <c r="G1038">
        <f t="shared" si="79"/>
        <v>0.35560683607229815</v>
      </c>
      <c r="H1038" s="1"/>
    </row>
    <row r="1039" spans="1:8" x14ac:dyDescent="0.45">
      <c r="A1039" s="1">
        <v>45756</v>
      </c>
      <c r="B1039">
        <v>466</v>
      </c>
      <c r="C1039">
        <f t="shared" si="80"/>
        <v>0.12003076479353947</v>
      </c>
      <c r="D1039">
        <f t="shared" si="81"/>
        <v>1.4495458504417058</v>
      </c>
      <c r="E1039">
        <f t="shared" si="82"/>
        <v>1.6782381485628945</v>
      </c>
      <c r="F1039">
        <f t="shared" si="83"/>
        <v>-0.13626927639383124</v>
      </c>
      <c r="G1039">
        <f t="shared" si="79"/>
        <v>0.57037360181561969</v>
      </c>
      <c r="H1039" s="1"/>
    </row>
    <row r="1040" spans="1:8" x14ac:dyDescent="0.45">
      <c r="A1040" s="1">
        <v>45757</v>
      </c>
      <c r="B1040">
        <v>446.18</v>
      </c>
      <c r="C1040">
        <f t="shared" si="80"/>
        <v>-4.253218884120169E-2</v>
      </c>
      <c r="D1040">
        <f t="shared" si="81"/>
        <v>1.3878934925967388</v>
      </c>
      <c r="E1040">
        <f t="shared" si="82"/>
        <v>1.6782381485628945</v>
      </c>
      <c r="F1040">
        <f t="shared" si="83"/>
        <v>-0.17300563463819663</v>
      </c>
      <c r="G1040">
        <f t="shared" si="79"/>
        <v>0.5867363694171388</v>
      </c>
      <c r="H1040" s="1"/>
    </row>
    <row r="1041" spans="1:8" x14ac:dyDescent="0.45">
      <c r="A1041" s="1">
        <v>45758</v>
      </c>
      <c r="B1041">
        <v>454.4</v>
      </c>
      <c r="C1041">
        <f t="shared" si="80"/>
        <v>1.8423057958671274E-2</v>
      </c>
      <c r="D1041">
        <f t="shared" si="81"/>
        <v>1.4134627348513111</v>
      </c>
      <c r="E1041">
        <f t="shared" si="82"/>
        <v>1.6782381485628945</v>
      </c>
      <c r="F1041">
        <f t="shared" si="83"/>
        <v>-0.15776986951364169</v>
      </c>
      <c r="G1041">
        <f t="shared" si="79"/>
        <v>0.58371030498075771</v>
      </c>
      <c r="H1041" s="1"/>
    </row>
    <row r="1042" spans="1:8" x14ac:dyDescent="0.45">
      <c r="A1042" s="1">
        <v>45761</v>
      </c>
      <c r="B1042">
        <v>457.48</v>
      </c>
      <c r="C1042">
        <f t="shared" si="80"/>
        <v>6.7781690140846784E-3</v>
      </c>
      <c r="D1042">
        <f t="shared" si="81"/>
        <v>1.4230434241632437</v>
      </c>
      <c r="E1042">
        <f t="shared" si="82"/>
        <v>1.6782381485628945</v>
      </c>
      <c r="F1042">
        <f t="shared" si="83"/>
        <v>-0.15206109134045054</v>
      </c>
      <c r="G1042">
        <f t="shared" si="79"/>
        <v>0.5837685163905737</v>
      </c>
      <c r="H1042" s="1"/>
    </row>
    <row r="1043" spans="1:8" x14ac:dyDescent="0.45">
      <c r="A1043" s="1">
        <v>45762</v>
      </c>
      <c r="B1043">
        <v>457.99</v>
      </c>
      <c r="C1043">
        <f t="shared" si="80"/>
        <v>1.1148028329106552E-3</v>
      </c>
      <c r="D1043">
        <f t="shared" si="81"/>
        <v>1.4246298370038557</v>
      </c>
      <c r="E1043">
        <f t="shared" si="82"/>
        <v>1.6782381485628945</v>
      </c>
      <c r="F1043">
        <f t="shared" si="83"/>
        <v>-0.15111580664294166</v>
      </c>
      <c r="G1043">
        <f t="shared" si="79"/>
        <v>0.58113961101589706</v>
      </c>
      <c r="H1043" s="1"/>
    </row>
    <row r="1044" spans="1:8" x14ac:dyDescent="0.45">
      <c r="A1044" s="1">
        <v>45763</v>
      </c>
      <c r="B1044">
        <v>444.18</v>
      </c>
      <c r="C1044">
        <f t="shared" si="80"/>
        <v>-3.0153496801240243E-2</v>
      </c>
      <c r="D1044">
        <f t="shared" si="81"/>
        <v>1.3816722657708085</v>
      </c>
      <c r="E1044">
        <f t="shared" si="82"/>
        <v>1.6782381485628945</v>
      </c>
      <c r="F1044">
        <f t="shared" si="83"/>
        <v>-0.1767126334519572</v>
      </c>
      <c r="G1044">
        <f t="shared" si="79"/>
        <v>0.58721042694863101</v>
      </c>
      <c r="H1044" s="1"/>
    </row>
    <row r="1045" spans="1:8" x14ac:dyDescent="0.45">
      <c r="A1045" s="1">
        <v>45764</v>
      </c>
      <c r="B1045">
        <v>444.1</v>
      </c>
      <c r="C1045">
        <f t="shared" si="80"/>
        <v>-1.8010716376237745E-4</v>
      </c>
      <c r="D1045">
        <f t="shared" si="81"/>
        <v>1.3814234166977715</v>
      </c>
      <c r="E1045">
        <f t="shared" si="82"/>
        <v>1.6782381485628945</v>
      </c>
      <c r="F1045">
        <f t="shared" si="83"/>
        <v>-0.17686091340450749</v>
      </c>
      <c r="G1045">
        <f t="shared" si="79"/>
        <v>0.58731679194722308</v>
      </c>
      <c r="H1045" s="1"/>
    </row>
    <row r="1046" spans="1:8" x14ac:dyDescent="0.45">
      <c r="A1046" s="1">
        <v>45768</v>
      </c>
      <c r="B1046">
        <v>433.11</v>
      </c>
      <c r="C1046">
        <f t="shared" si="80"/>
        <v>-2.474667867597391E-2</v>
      </c>
      <c r="D1046">
        <f t="shared" si="81"/>
        <v>1.3472377752892857</v>
      </c>
      <c r="E1046">
        <f t="shared" si="82"/>
        <v>1.6782381485628945</v>
      </c>
      <c r="F1046">
        <f t="shared" si="83"/>
        <v>-0.19723087188612087</v>
      </c>
      <c r="G1046">
        <f t="shared" ref="G1046:G1109" si="84">_xlfn.STDEV.S(C1027:C1046)*SQRT(252)</f>
        <v>0.59164012628323981</v>
      </c>
      <c r="H1046" s="1"/>
    </row>
    <row r="1047" spans="1:8" x14ac:dyDescent="0.45">
      <c r="A1047" s="1">
        <v>45769</v>
      </c>
      <c r="B1047">
        <v>444.48</v>
      </c>
      <c r="C1047">
        <f t="shared" si="80"/>
        <v>2.625199141095802E-2</v>
      </c>
      <c r="D1047">
        <f t="shared" si="81"/>
        <v>1.3826054497946982</v>
      </c>
      <c r="E1047">
        <f t="shared" si="82"/>
        <v>1.6782381485628945</v>
      </c>
      <c r="F1047">
        <f t="shared" si="83"/>
        <v>-0.17615658362989295</v>
      </c>
      <c r="G1047">
        <f t="shared" si="84"/>
        <v>0.59525752735355408</v>
      </c>
      <c r="H1047" s="1"/>
    </row>
    <row r="1048" spans="1:8" x14ac:dyDescent="0.45">
      <c r="A1048" s="1">
        <v>45770</v>
      </c>
      <c r="B1048">
        <v>454.56</v>
      </c>
      <c r="C1048">
        <f t="shared" si="80"/>
        <v>2.2678185745140356E-2</v>
      </c>
      <c r="D1048">
        <f t="shared" si="81"/>
        <v>1.4139604329973858</v>
      </c>
      <c r="E1048">
        <f t="shared" si="82"/>
        <v>1.6782381485628945</v>
      </c>
      <c r="F1048">
        <f t="shared" si="83"/>
        <v>-0.15747330960854067</v>
      </c>
      <c r="G1048">
        <f t="shared" si="84"/>
        <v>0.60204475617973474</v>
      </c>
      <c r="H1048" s="1"/>
    </row>
    <row r="1049" spans="1:8" x14ac:dyDescent="0.45">
      <c r="A1049" s="1">
        <v>45771</v>
      </c>
      <c r="B1049">
        <v>467.35</v>
      </c>
      <c r="C1049">
        <f t="shared" si="80"/>
        <v>2.8137099612812522E-2</v>
      </c>
      <c r="D1049">
        <f t="shared" si="81"/>
        <v>1.4537451785492088</v>
      </c>
      <c r="E1049">
        <f t="shared" si="82"/>
        <v>1.6782381485628945</v>
      </c>
      <c r="F1049">
        <f t="shared" si="83"/>
        <v>-0.13376705219454288</v>
      </c>
      <c r="G1049">
        <f t="shared" si="84"/>
        <v>0.60931985931336197</v>
      </c>
      <c r="H1049" s="1"/>
    </row>
    <row r="1050" spans="1:8" x14ac:dyDescent="0.45">
      <c r="A1050" s="1">
        <v>45772</v>
      </c>
      <c r="B1050">
        <v>472.56</v>
      </c>
      <c r="C1050">
        <f t="shared" si="80"/>
        <v>1.1147961912913118E-2</v>
      </c>
      <c r="D1050">
        <f t="shared" si="81"/>
        <v>1.4699514744307565</v>
      </c>
      <c r="E1050">
        <f t="shared" si="82"/>
        <v>1.6782381485628945</v>
      </c>
      <c r="F1050">
        <f t="shared" si="83"/>
        <v>-0.12411032028469715</v>
      </c>
      <c r="G1050">
        <f t="shared" si="84"/>
        <v>0.61056938174543673</v>
      </c>
      <c r="H1050" s="1"/>
    </row>
    <row r="1051" spans="1:8" x14ac:dyDescent="0.45">
      <c r="A1051" s="1">
        <v>45775</v>
      </c>
      <c r="B1051">
        <v>472.41</v>
      </c>
      <c r="C1051">
        <f t="shared" si="80"/>
        <v>-3.1742001015744314E-4</v>
      </c>
      <c r="D1051">
        <f t="shared" si="81"/>
        <v>1.4694848824188118</v>
      </c>
      <c r="E1051">
        <f t="shared" si="82"/>
        <v>1.6782381485628945</v>
      </c>
      <c r="F1051">
        <f t="shared" si="83"/>
        <v>-0.12438834519572917</v>
      </c>
      <c r="G1051">
        <f t="shared" si="84"/>
        <v>0.60277446232082654</v>
      </c>
      <c r="H1051" s="1"/>
    </row>
    <row r="1052" spans="1:8" x14ac:dyDescent="0.45">
      <c r="A1052" s="1">
        <v>45776</v>
      </c>
      <c r="B1052">
        <v>475.53</v>
      </c>
      <c r="C1052">
        <f t="shared" si="80"/>
        <v>6.6044325903344969E-3</v>
      </c>
      <c r="D1052">
        <f t="shared" si="81"/>
        <v>1.4791899962672626</v>
      </c>
      <c r="E1052">
        <f t="shared" si="82"/>
        <v>1.6782381485628945</v>
      </c>
      <c r="F1052">
        <f t="shared" si="83"/>
        <v>-0.11860542704626309</v>
      </c>
      <c r="G1052">
        <f t="shared" si="84"/>
        <v>0.60307847969948902</v>
      </c>
      <c r="H1052" s="1"/>
    </row>
    <row r="1053" spans="1:8" x14ac:dyDescent="0.45">
      <c r="A1053" s="1">
        <v>45777</v>
      </c>
      <c r="B1053">
        <v>475.47</v>
      </c>
      <c r="C1053">
        <f t="shared" si="80"/>
        <v>-1.2617500473144361E-4</v>
      </c>
      <c r="D1053">
        <f t="shared" si="81"/>
        <v>1.4790033594624847</v>
      </c>
      <c r="E1053">
        <f t="shared" si="82"/>
        <v>1.6782381485628945</v>
      </c>
      <c r="F1053">
        <f t="shared" si="83"/>
        <v>-0.11871663701067581</v>
      </c>
      <c r="G1053">
        <f t="shared" si="84"/>
        <v>0.60257334936505991</v>
      </c>
      <c r="H1053" s="1"/>
    </row>
    <row r="1054" spans="1:8" x14ac:dyDescent="0.45">
      <c r="A1054" s="1">
        <v>45778</v>
      </c>
      <c r="B1054">
        <v>481.68</v>
      </c>
      <c r="C1054">
        <f t="shared" si="80"/>
        <v>1.3060760931288939E-2</v>
      </c>
      <c r="D1054">
        <f t="shared" si="81"/>
        <v>1.4983202687569974</v>
      </c>
      <c r="E1054">
        <f t="shared" si="82"/>
        <v>1.6782381485628945</v>
      </c>
      <c r="F1054">
        <f t="shared" si="83"/>
        <v>-0.1072064056939499</v>
      </c>
      <c r="G1054">
        <f t="shared" si="84"/>
        <v>0.60372351056457618</v>
      </c>
      <c r="H1054" s="1"/>
    </row>
    <row r="1055" spans="1:8" x14ac:dyDescent="0.45">
      <c r="A1055" s="1">
        <v>45779</v>
      </c>
      <c r="B1055">
        <v>488.83</v>
      </c>
      <c r="C1055">
        <f t="shared" si="80"/>
        <v>1.4843879754193656E-2</v>
      </c>
      <c r="D1055">
        <f t="shared" si="81"/>
        <v>1.5205611546596973</v>
      </c>
      <c r="E1055">
        <f t="shared" si="82"/>
        <v>1.6782381485628945</v>
      </c>
      <c r="F1055">
        <f t="shared" si="83"/>
        <v>-9.3953884934756648E-2</v>
      </c>
      <c r="G1055">
        <f t="shared" si="84"/>
        <v>0.56923860872937548</v>
      </c>
      <c r="H1055" s="1"/>
    </row>
    <row r="1056" spans="1:8" x14ac:dyDescent="0.45">
      <c r="A1056" s="1">
        <v>45782</v>
      </c>
      <c r="B1056">
        <v>485.93</v>
      </c>
      <c r="C1056">
        <f t="shared" si="80"/>
        <v>-5.9325327823578355E-3</v>
      </c>
      <c r="D1056">
        <f t="shared" si="81"/>
        <v>1.5115403757620989</v>
      </c>
      <c r="E1056">
        <f t="shared" si="82"/>
        <v>1.6782381485628945</v>
      </c>
      <c r="F1056">
        <f t="shared" si="83"/>
        <v>-9.9329033214709095E-2</v>
      </c>
      <c r="G1056">
        <f t="shared" si="84"/>
        <v>0.5140927782359398</v>
      </c>
      <c r="H1056" s="1"/>
    </row>
    <row r="1057" spans="1:8" x14ac:dyDescent="0.45">
      <c r="A1057" s="1">
        <v>45783</v>
      </c>
      <c r="B1057">
        <v>481.41</v>
      </c>
      <c r="C1057">
        <f t="shared" si="80"/>
        <v>-9.3017512810487091E-3</v>
      </c>
      <c r="D1057">
        <f t="shared" si="81"/>
        <v>1.4974804031354969</v>
      </c>
      <c r="E1057">
        <f t="shared" si="82"/>
        <v>1.6782381485628945</v>
      </c>
      <c r="F1057">
        <f t="shared" si="83"/>
        <v>-0.10770685053380757</v>
      </c>
      <c r="G1057">
        <f t="shared" si="84"/>
        <v>0.51729430005143595</v>
      </c>
      <c r="H1057" s="1"/>
    </row>
    <row r="1058" spans="1:8" x14ac:dyDescent="0.45">
      <c r="A1058" s="1">
        <v>45784</v>
      </c>
      <c r="B1058">
        <v>483.3</v>
      </c>
      <c r="C1058">
        <f t="shared" si="80"/>
        <v>3.9259674705551806E-3</v>
      </c>
      <c r="D1058">
        <f t="shared" si="81"/>
        <v>1.5033594624860007</v>
      </c>
      <c r="E1058">
        <f t="shared" si="82"/>
        <v>1.6782381485628945</v>
      </c>
      <c r="F1058">
        <f t="shared" si="83"/>
        <v>-0.10420373665480409</v>
      </c>
      <c r="G1058">
        <f t="shared" si="84"/>
        <v>0.50908682729613408</v>
      </c>
      <c r="H1058" s="1"/>
    </row>
    <row r="1059" spans="1:8" x14ac:dyDescent="0.45">
      <c r="A1059" s="1">
        <v>45785</v>
      </c>
      <c r="B1059">
        <v>488.29</v>
      </c>
      <c r="C1059">
        <f t="shared" si="80"/>
        <v>1.0324849989654439E-2</v>
      </c>
      <c r="D1059">
        <f t="shared" si="81"/>
        <v>1.5188814234166963</v>
      </c>
      <c r="E1059">
        <f t="shared" si="82"/>
        <v>1.6782381485628945</v>
      </c>
      <c r="F1059">
        <f t="shared" si="83"/>
        <v>-9.4954774614471882E-2</v>
      </c>
      <c r="G1059">
        <f t="shared" si="84"/>
        <v>0.29112296861916581</v>
      </c>
      <c r="H1059" s="1"/>
    </row>
    <row r="1060" spans="1:8" x14ac:dyDescent="0.45">
      <c r="A1060" s="1">
        <v>45786</v>
      </c>
      <c r="B1060">
        <v>487.97</v>
      </c>
      <c r="C1060">
        <f t="shared" si="80"/>
        <v>-6.55348256159205E-4</v>
      </c>
      <c r="D1060">
        <f t="shared" si="81"/>
        <v>1.5178860271245476</v>
      </c>
      <c r="E1060">
        <f t="shared" si="82"/>
        <v>1.6782381485628945</v>
      </c>
      <c r="F1060">
        <f t="shared" si="83"/>
        <v>-9.5547894424673485E-2</v>
      </c>
      <c r="G1060">
        <f t="shared" si="84"/>
        <v>0.23838057208450913</v>
      </c>
      <c r="H1060" s="1"/>
    </row>
    <row r="1061" spans="1:8" x14ac:dyDescent="0.45">
      <c r="A1061" s="1">
        <v>45789</v>
      </c>
      <c r="B1061">
        <v>507.85</v>
      </c>
      <c r="C1061">
        <f t="shared" si="80"/>
        <v>4.0740209439104946E-2</v>
      </c>
      <c r="D1061">
        <f t="shared" si="81"/>
        <v>1.5797250217742926</v>
      </c>
      <c r="E1061">
        <f t="shared" si="82"/>
        <v>1.6782381485628945</v>
      </c>
      <c r="F1061">
        <f t="shared" si="83"/>
        <v>-5.870032621589516E-2</v>
      </c>
      <c r="G1061">
        <f t="shared" si="84"/>
        <v>0.26699728818994362</v>
      </c>
      <c r="H1061" s="1"/>
    </row>
    <row r="1062" spans="1:8" x14ac:dyDescent="0.45">
      <c r="A1062" s="1">
        <v>45790</v>
      </c>
      <c r="B1062">
        <v>515.59</v>
      </c>
      <c r="C1062">
        <f t="shared" si="80"/>
        <v>1.5240720685241627E-2</v>
      </c>
      <c r="D1062">
        <f t="shared" si="81"/>
        <v>1.6038011695906418</v>
      </c>
      <c r="E1062">
        <f t="shared" si="82"/>
        <v>1.6782381485628945</v>
      </c>
      <c r="F1062">
        <f t="shared" si="83"/>
        <v>-4.4354240806642631E-2</v>
      </c>
      <c r="G1062">
        <f t="shared" si="84"/>
        <v>0.26912773810103646</v>
      </c>
      <c r="H1062" s="1"/>
    </row>
    <row r="1063" spans="1:8" x14ac:dyDescent="0.45">
      <c r="A1063" s="1">
        <v>45791</v>
      </c>
      <c r="B1063">
        <v>518.67999999999995</v>
      </c>
      <c r="C1063">
        <f t="shared" si="80"/>
        <v>5.9931340794039389E-3</v>
      </c>
      <c r="D1063">
        <f t="shared" si="81"/>
        <v>1.6134129650367033</v>
      </c>
      <c r="E1063">
        <f t="shared" si="82"/>
        <v>1.6782381485628945</v>
      </c>
      <c r="F1063">
        <f t="shared" si="83"/>
        <v>-3.8626927639383135E-2</v>
      </c>
      <c r="G1063">
        <f t="shared" si="84"/>
        <v>0.26847762893670735</v>
      </c>
      <c r="H1063" s="1"/>
    </row>
    <row r="1064" spans="1:8" x14ac:dyDescent="0.45">
      <c r="A1064" s="1">
        <v>45792</v>
      </c>
      <c r="B1064">
        <v>519.25</v>
      </c>
      <c r="C1064">
        <f t="shared" si="80"/>
        <v>1.0989434718902125E-3</v>
      </c>
      <c r="D1064">
        <f t="shared" si="81"/>
        <v>1.6151860146820933</v>
      </c>
      <c r="E1064">
        <f t="shared" si="82"/>
        <v>1.6782381485628945</v>
      </c>
      <c r="F1064">
        <f t="shared" si="83"/>
        <v>-3.7570432977461432E-2</v>
      </c>
      <c r="G1064">
        <f t="shared" si="84"/>
        <v>0.23260008938592477</v>
      </c>
      <c r="H1064" s="1"/>
    </row>
    <row r="1065" spans="1:8" x14ac:dyDescent="0.45">
      <c r="A1065" s="1">
        <v>45793</v>
      </c>
      <c r="B1065">
        <v>521.51</v>
      </c>
      <c r="C1065">
        <f t="shared" si="80"/>
        <v>4.3524313914298229E-3</v>
      </c>
      <c r="D1065">
        <f t="shared" si="81"/>
        <v>1.6222160009953941</v>
      </c>
      <c r="E1065">
        <f t="shared" si="82"/>
        <v>1.6782381485628945</v>
      </c>
      <c r="F1065">
        <f t="shared" si="83"/>
        <v>-3.3381524317912303E-2</v>
      </c>
      <c r="G1065">
        <f t="shared" si="84"/>
        <v>0.23105287950192072</v>
      </c>
      <c r="H1065" s="1"/>
    </row>
    <row r="1066" spans="1:8" x14ac:dyDescent="0.45">
      <c r="A1066" s="1">
        <v>45796</v>
      </c>
      <c r="B1066">
        <v>522.01</v>
      </c>
      <c r="C1066">
        <f t="shared" si="80"/>
        <v>9.5875438630121934E-4</v>
      </c>
      <c r="D1066">
        <f t="shared" si="81"/>
        <v>1.6237713077018765</v>
      </c>
      <c r="E1066">
        <f t="shared" si="82"/>
        <v>1.6782381485628945</v>
      </c>
      <c r="F1066">
        <f t="shared" si="83"/>
        <v>-3.2454774614472326E-2</v>
      </c>
      <c r="G1066">
        <f t="shared" si="84"/>
        <v>0.19816387424910342</v>
      </c>
      <c r="H1066" s="1"/>
    </row>
    <row r="1067" spans="1:8" x14ac:dyDescent="0.45">
      <c r="A1067" s="1">
        <v>45797</v>
      </c>
      <c r="B1067">
        <v>520.27</v>
      </c>
      <c r="C1067">
        <f t="shared" si="80"/>
        <v>-3.3332694775962679E-3</v>
      </c>
      <c r="D1067">
        <f t="shared" si="81"/>
        <v>1.6183588403633173</v>
      </c>
      <c r="E1067">
        <f t="shared" si="82"/>
        <v>1.6782381485628945</v>
      </c>
      <c r="F1067">
        <f t="shared" si="83"/>
        <v>-3.5679863582443794E-2</v>
      </c>
      <c r="G1067">
        <f t="shared" si="84"/>
        <v>0.19264622702589465</v>
      </c>
      <c r="H1067" s="1"/>
    </row>
    <row r="1068" spans="1:8" x14ac:dyDescent="0.45">
      <c r="A1068" s="1">
        <v>45798</v>
      </c>
      <c r="B1068">
        <v>513.04</v>
      </c>
      <c r="C1068">
        <f t="shared" si="80"/>
        <v>-1.3896630595652271E-2</v>
      </c>
      <c r="D1068">
        <f t="shared" si="81"/>
        <v>1.5958691053875802</v>
      </c>
      <c r="E1068">
        <f t="shared" si="82"/>
        <v>1.6782381485628945</v>
      </c>
      <c r="F1068">
        <f t="shared" si="83"/>
        <v>-4.9080664294187559E-2</v>
      </c>
      <c r="G1068">
        <f t="shared" si="84"/>
        <v>0.19924852850185909</v>
      </c>
      <c r="H1068" s="1"/>
    </row>
    <row r="1069" spans="1:8" x14ac:dyDescent="0.45">
      <c r="A1069" s="1">
        <v>45799</v>
      </c>
      <c r="B1069">
        <v>514</v>
      </c>
      <c r="C1069">
        <f t="shared" si="80"/>
        <v>1.8711991267739148E-3</v>
      </c>
      <c r="D1069">
        <f t="shared" si="81"/>
        <v>1.5988552942640268</v>
      </c>
      <c r="E1069">
        <f t="shared" si="82"/>
        <v>1.6782381485628945</v>
      </c>
      <c r="F1069">
        <f t="shared" si="83"/>
        <v>-4.7301304863582527E-2</v>
      </c>
      <c r="G1069">
        <f t="shared" si="84"/>
        <v>0.18184823092465233</v>
      </c>
      <c r="H1069" s="1"/>
    </row>
    <row r="1070" spans="1:8" x14ac:dyDescent="0.45">
      <c r="A1070" s="1">
        <v>45800</v>
      </c>
      <c r="B1070">
        <v>509.24</v>
      </c>
      <c r="C1070">
        <f t="shared" si="80"/>
        <v>-9.2607003891050921E-3</v>
      </c>
      <c r="D1070">
        <f t="shared" si="81"/>
        <v>1.5840487744183132</v>
      </c>
      <c r="E1070">
        <f t="shared" si="82"/>
        <v>1.6782381485628945</v>
      </c>
      <c r="F1070">
        <f t="shared" si="83"/>
        <v>-5.612396204033232E-2</v>
      </c>
      <c r="G1070">
        <f t="shared" si="84"/>
        <v>0.18680609906669848</v>
      </c>
      <c r="H1070" s="1"/>
    </row>
    <row r="1071" spans="1:8" x14ac:dyDescent="0.45">
      <c r="A1071" s="1">
        <v>45804</v>
      </c>
      <c r="B1071">
        <v>521.22</v>
      </c>
      <c r="C1071">
        <f t="shared" si="80"/>
        <v>2.3525253318670947E-2</v>
      </c>
      <c r="D1071">
        <f t="shared" si="81"/>
        <v>1.6213139231056342</v>
      </c>
      <c r="E1071">
        <f t="shared" si="82"/>
        <v>1.6782381485628945</v>
      </c>
      <c r="F1071">
        <f t="shared" si="83"/>
        <v>-3.3919039145907659E-2</v>
      </c>
      <c r="G1071">
        <f t="shared" si="84"/>
        <v>0.19861804696879468</v>
      </c>
      <c r="H1071" s="1"/>
    </row>
    <row r="1072" spans="1:8" x14ac:dyDescent="0.45">
      <c r="A1072" s="1">
        <v>45805</v>
      </c>
      <c r="B1072">
        <v>518.91</v>
      </c>
      <c r="C1072">
        <f t="shared" si="80"/>
        <v>-4.4319097502015792E-3</v>
      </c>
      <c r="D1072">
        <f t="shared" si="81"/>
        <v>1.6141284061216847</v>
      </c>
      <c r="E1072">
        <f t="shared" si="82"/>
        <v>1.6782381485628945</v>
      </c>
      <c r="F1072">
        <f t="shared" si="83"/>
        <v>-3.8200622775801052E-2</v>
      </c>
      <c r="G1072">
        <f t="shared" si="84"/>
        <v>0.20128242751778772</v>
      </c>
      <c r="H1072" s="1"/>
    </row>
    <row r="1073" spans="1:8" x14ac:dyDescent="0.45">
      <c r="A1073" s="1">
        <v>45806</v>
      </c>
      <c r="B1073">
        <v>519.92999999999995</v>
      </c>
      <c r="C1073">
        <f t="shared" si="80"/>
        <v>1.9656587847602935E-3</v>
      </c>
      <c r="D1073">
        <f t="shared" si="81"/>
        <v>1.617301231802909</v>
      </c>
      <c r="E1073">
        <f t="shared" si="82"/>
        <v>1.6782381485628945</v>
      </c>
      <c r="F1073">
        <f t="shared" si="83"/>
        <v>-3.6310053380783303E-2</v>
      </c>
      <c r="G1073">
        <f t="shared" si="84"/>
        <v>0.20078802431615017</v>
      </c>
      <c r="H1073" s="1"/>
    </row>
    <row r="1074" spans="1:8" x14ac:dyDescent="0.45">
      <c r="A1074" s="1">
        <v>45807</v>
      </c>
      <c r="B1074">
        <v>519.11</v>
      </c>
      <c r="C1074">
        <f t="shared" si="80"/>
        <v>-1.5771353836092628E-3</v>
      </c>
      <c r="D1074">
        <f t="shared" si="81"/>
        <v>1.6147505288042778</v>
      </c>
      <c r="E1074">
        <f t="shared" si="82"/>
        <v>1.6782381485628945</v>
      </c>
      <c r="F1074">
        <f t="shared" si="83"/>
        <v>-3.7829922894424883E-2</v>
      </c>
      <c r="G1074">
        <f t="shared" si="84"/>
        <v>0.19928047766812015</v>
      </c>
      <c r="H1074" s="1"/>
    </row>
    <row r="1075" spans="1:8" x14ac:dyDescent="0.45">
      <c r="A1075" s="1">
        <v>45810</v>
      </c>
      <c r="B1075">
        <v>523.21</v>
      </c>
      <c r="C1075">
        <f t="shared" si="80"/>
        <v>7.8981333436074497E-3</v>
      </c>
      <c r="D1075">
        <f t="shared" si="81"/>
        <v>1.6275040437974346</v>
      </c>
      <c r="E1075">
        <f t="shared" si="82"/>
        <v>1.6782381485628945</v>
      </c>
      <c r="F1075">
        <f t="shared" si="83"/>
        <v>-3.023057532621598E-2</v>
      </c>
      <c r="G1075">
        <f t="shared" si="84"/>
        <v>0.19567819656792815</v>
      </c>
      <c r="H1075" s="1"/>
    </row>
    <row r="1076" spans="1:8" x14ac:dyDescent="0.45">
      <c r="A1076" s="1">
        <v>45811</v>
      </c>
      <c r="B1076">
        <v>527.29999999999995</v>
      </c>
      <c r="C1076">
        <f t="shared" si="80"/>
        <v>7.8171288775059633E-3</v>
      </c>
      <c r="D1076">
        <f t="shared" si="81"/>
        <v>1.6402264526564614</v>
      </c>
      <c r="E1076">
        <f t="shared" si="82"/>
        <v>1.6782381485628945</v>
      </c>
      <c r="F1076">
        <f t="shared" si="83"/>
        <v>-2.2649762752076197E-2</v>
      </c>
      <c r="G1076">
        <f t="shared" si="84"/>
        <v>0.19297857005922564</v>
      </c>
      <c r="H1076" s="1"/>
    </row>
    <row r="1077" spans="1:8" x14ac:dyDescent="0.45">
      <c r="A1077" s="1">
        <v>45812</v>
      </c>
      <c r="B1077">
        <v>528.77</v>
      </c>
      <c r="C1077">
        <f t="shared" si="80"/>
        <v>2.7877868386119165E-3</v>
      </c>
      <c r="D1077">
        <f t="shared" si="81"/>
        <v>1.6447990543735203</v>
      </c>
      <c r="E1077">
        <f t="shared" si="82"/>
        <v>1.6782381485628945</v>
      </c>
      <c r="F1077">
        <f t="shared" si="83"/>
        <v>-1.9925118623962179E-2</v>
      </c>
      <c r="G1077">
        <f t="shared" si="84"/>
        <v>0.18645201120230925</v>
      </c>
      <c r="H1077" s="1"/>
    </row>
    <row r="1078" spans="1:8" x14ac:dyDescent="0.45">
      <c r="A1078" s="1">
        <v>45813</v>
      </c>
      <c r="B1078">
        <v>524.79</v>
      </c>
      <c r="C1078">
        <f t="shared" si="80"/>
        <v>-7.5269020557142685E-3</v>
      </c>
      <c r="D1078">
        <f t="shared" si="81"/>
        <v>1.6324188129899193</v>
      </c>
      <c r="E1078">
        <f t="shared" si="82"/>
        <v>1.6782381485628945</v>
      </c>
      <c r="F1078">
        <f t="shared" si="83"/>
        <v>-2.7302046263345425E-2</v>
      </c>
      <c r="G1078">
        <f t="shared" si="84"/>
        <v>0.19150106639950829</v>
      </c>
      <c r="H1078" s="1"/>
    </row>
    <row r="1079" spans="1:8" x14ac:dyDescent="0.45">
      <c r="A1079" s="1">
        <v>45814</v>
      </c>
      <c r="B1079">
        <v>529.91999999999996</v>
      </c>
      <c r="C1079">
        <f t="shared" si="80"/>
        <v>9.775338706911274E-3</v>
      </c>
      <c r="D1079">
        <f t="shared" si="81"/>
        <v>1.6483762597984297</v>
      </c>
      <c r="E1079">
        <f t="shared" si="82"/>
        <v>1.6782381485628945</v>
      </c>
      <c r="F1079">
        <f t="shared" si="83"/>
        <v>-1.7793594306050098E-2</v>
      </c>
      <c r="G1079">
        <f t="shared" si="84"/>
        <v>0.19127756203156585</v>
      </c>
      <c r="H1079" s="1"/>
    </row>
    <row r="1080" spans="1:8" x14ac:dyDescent="0.45">
      <c r="A1080" s="1">
        <v>45817</v>
      </c>
      <c r="B1080">
        <v>530.70000000000005</v>
      </c>
      <c r="C1080">
        <f t="shared" si="80"/>
        <v>1.4719202898552108E-3</v>
      </c>
      <c r="D1080">
        <f t="shared" si="81"/>
        <v>1.6508025382605427</v>
      </c>
      <c r="E1080">
        <f t="shared" si="82"/>
        <v>1.6782381485628945</v>
      </c>
      <c r="F1080">
        <f t="shared" si="83"/>
        <v>-1.634786476868344E-2</v>
      </c>
      <c r="G1080">
        <f t="shared" si="84"/>
        <v>0.19071444077355587</v>
      </c>
      <c r="H1080" s="1"/>
    </row>
    <row r="1081" spans="1:8" x14ac:dyDescent="0.45">
      <c r="A1081" s="1">
        <v>45818</v>
      </c>
      <c r="B1081">
        <v>534.21</v>
      </c>
      <c r="C1081">
        <f t="shared" si="80"/>
        <v>6.6139061616732331E-3</v>
      </c>
      <c r="D1081">
        <f t="shared" si="81"/>
        <v>1.6617207913400498</v>
      </c>
      <c r="E1081">
        <f t="shared" si="82"/>
        <v>1.6782381485628945</v>
      </c>
      <c r="F1081">
        <f t="shared" si="83"/>
        <v>-9.8420818505340346E-3</v>
      </c>
      <c r="G1081">
        <f t="shared" si="84"/>
        <v>0.13429336757645549</v>
      </c>
      <c r="H1081" s="1"/>
    </row>
    <row r="1082" spans="1:8" x14ac:dyDescent="0.45">
      <c r="A1082" s="1">
        <v>45819</v>
      </c>
      <c r="B1082">
        <v>532.41</v>
      </c>
      <c r="C1082">
        <f t="shared" si="80"/>
        <v>-3.3694614477454143E-3</v>
      </c>
      <c r="D1082">
        <f t="shared" si="81"/>
        <v>1.6561216871967126</v>
      </c>
      <c r="E1082">
        <f t="shared" si="82"/>
        <v>1.6782381485628945</v>
      </c>
      <c r="F1082">
        <f t="shared" si="83"/>
        <v>-1.3178380782918442E-2</v>
      </c>
      <c r="G1082">
        <f t="shared" si="84"/>
        <v>0.12705183124599476</v>
      </c>
      <c r="H1082" s="1"/>
    </row>
    <row r="1083" spans="1:8" x14ac:dyDescent="0.45">
      <c r="A1083" s="1">
        <v>45820</v>
      </c>
      <c r="B1083">
        <v>533.66</v>
      </c>
      <c r="C1083">
        <f t="shared" si="80"/>
        <v>2.3478146541200395E-3</v>
      </c>
      <c r="D1083">
        <f t="shared" si="81"/>
        <v>1.6600099539629189</v>
      </c>
      <c r="E1083">
        <f t="shared" si="82"/>
        <v>1.6782381485628945</v>
      </c>
      <c r="F1083">
        <f t="shared" si="83"/>
        <v>-1.0861506524318165E-2</v>
      </c>
      <c r="G1083">
        <f t="shared" si="84"/>
        <v>0.12604898017101823</v>
      </c>
      <c r="H1083" s="1"/>
    </row>
    <row r="1084" spans="1:8" x14ac:dyDescent="0.45">
      <c r="A1084" s="1">
        <v>45821</v>
      </c>
      <c r="B1084">
        <v>526.96</v>
      </c>
      <c r="C1084">
        <f t="shared" si="80"/>
        <v>-1.2554810178765363E-2</v>
      </c>
      <c r="D1084">
        <f t="shared" si="81"/>
        <v>1.6391688440960535</v>
      </c>
      <c r="E1084">
        <f t="shared" si="82"/>
        <v>1.6782381485628945</v>
      </c>
      <c r="F1084">
        <f t="shared" si="83"/>
        <v>-2.3279952550415373E-2</v>
      </c>
      <c r="G1084">
        <f t="shared" si="84"/>
        <v>0.13552138415301751</v>
      </c>
      <c r="H1084" s="1"/>
    </row>
    <row r="1085" spans="1:8" x14ac:dyDescent="0.45">
      <c r="A1085" s="1">
        <v>45824</v>
      </c>
      <c r="B1085">
        <v>534.29</v>
      </c>
      <c r="C1085">
        <f t="shared" si="80"/>
        <v>1.3909974191589347E-2</v>
      </c>
      <c r="D1085">
        <f t="shared" si="81"/>
        <v>1.6619696404130868</v>
      </c>
      <c r="E1085">
        <f t="shared" si="82"/>
        <v>1.6782381485628945</v>
      </c>
      <c r="F1085">
        <f t="shared" si="83"/>
        <v>-9.6938018979837448E-3</v>
      </c>
      <c r="G1085">
        <f t="shared" si="84"/>
        <v>0.14291541743869085</v>
      </c>
      <c r="H1085" s="1"/>
    </row>
    <row r="1086" spans="1:8" x14ac:dyDescent="0.45">
      <c r="A1086" s="1">
        <v>45825</v>
      </c>
      <c r="B1086">
        <v>529.08000000000004</v>
      </c>
      <c r="C1086">
        <f t="shared" si="80"/>
        <v>-9.7512586797430245E-3</v>
      </c>
      <c r="D1086">
        <f t="shared" si="81"/>
        <v>1.6457633445315394</v>
      </c>
      <c r="E1086">
        <f t="shared" si="82"/>
        <v>1.6782381485628945</v>
      </c>
      <c r="F1086">
        <f t="shared" si="83"/>
        <v>-1.9350533807829362E-2</v>
      </c>
      <c r="G1086">
        <f t="shared" si="84"/>
        <v>0.14816450604326228</v>
      </c>
      <c r="H1086" s="1"/>
    </row>
    <row r="1087" spans="1:8" x14ac:dyDescent="0.45">
      <c r="A1087" s="1">
        <v>45826</v>
      </c>
      <c r="B1087">
        <v>528.99</v>
      </c>
      <c r="C1087">
        <f t="shared" si="80"/>
        <v>-1.7010660013616619E-4</v>
      </c>
      <c r="D1087">
        <f t="shared" si="81"/>
        <v>1.6454833893243723</v>
      </c>
      <c r="E1087">
        <f t="shared" si="82"/>
        <v>1.6782381485628945</v>
      </c>
      <c r="F1087">
        <f t="shared" si="83"/>
        <v>-1.951734875444866E-2</v>
      </c>
      <c r="G1087">
        <f t="shared" si="84"/>
        <v>0.1474421526833779</v>
      </c>
      <c r="H1087" s="1"/>
    </row>
    <row r="1088" spans="1:8" x14ac:dyDescent="0.45">
      <c r="A1088" s="1">
        <v>45828</v>
      </c>
      <c r="B1088">
        <v>526.83000000000004</v>
      </c>
      <c r="C1088">
        <f t="shared" si="80"/>
        <v>-4.0832529915498794E-3</v>
      </c>
      <c r="D1088">
        <f t="shared" si="81"/>
        <v>1.638764464352368</v>
      </c>
      <c r="E1088">
        <f t="shared" si="82"/>
        <v>1.6782381485628945</v>
      </c>
      <c r="F1088">
        <f t="shared" si="83"/>
        <v>-2.3520907473309816E-2</v>
      </c>
      <c r="G1088">
        <f t="shared" si="84"/>
        <v>0.13823193484935109</v>
      </c>
      <c r="H1088" s="1"/>
    </row>
    <row r="1089" spans="1:8" x14ac:dyDescent="0.45">
      <c r="A1089" s="1">
        <v>45831</v>
      </c>
      <c r="B1089">
        <v>531.65</v>
      </c>
      <c r="C1089">
        <f t="shared" si="80"/>
        <v>9.1490613670441867E-3</v>
      </c>
      <c r="D1089">
        <f t="shared" si="81"/>
        <v>1.6537576210028591</v>
      </c>
      <c r="E1089">
        <f t="shared" si="82"/>
        <v>1.6782381485628945</v>
      </c>
      <c r="F1089">
        <f t="shared" si="83"/>
        <v>-1.4587040332147527E-2</v>
      </c>
      <c r="G1089">
        <f t="shared" si="84"/>
        <v>0.14097368399791266</v>
      </c>
      <c r="H1089" s="1"/>
    </row>
    <row r="1090" spans="1:8" x14ac:dyDescent="0.45">
      <c r="A1090" s="1">
        <v>45832</v>
      </c>
      <c r="B1090">
        <v>539.78</v>
      </c>
      <c r="C1090">
        <f t="shared" si="80"/>
        <v>1.5292015423681082E-2</v>
      </c>
      <c r="D1090">
        <f t="shared" si="81"/>
        <v>1.679046908050265</v>
      </c>
      <c r="E1090">
        <f t="shared" si="82"/>
        <v>1.679046908050265</v>
      </c>
      <c r="F1090">
        <f t="shared" si="83"/>
        <v>0</v>
      </c>
      <c r="G1090">
        <f t="shared" si="84"/>
        <v>0.14252443273194113</v>
      </c>
      <c r="H1090" s="1"/>
    </row>
    <row r="1091" spans="1:8" x14ac:dyDescent="0.45">
      <c r="A1091" s="1">
        <v>45833</v>
      </c>
      <c r="B1091">
        <v>541.16</v>
      </c>
      <c r="C1091">
        <f t="shared" si="80"/>
        <v>2.5565971321650505E-3</v>
      </c>
      <c r="D1091">
        <f t="shared" si="81"/>
        <v>1.6833395545601568</v>
      </c>
      <c r="E1091">
        <f t="shared" si="82"/>
        <v>1.6833395545601568</v>
      </c>
      <c r="F1091">
        <f t="shared" si="83"/>
        <v>0</v>
      </c>
      <c r="G1091">
        <f t="shared" si="84"/>
        <v>0.12004718508635202</v>
      </c>
      <c r="H1091" s="1"/>
    </row>
    <row r="1092" spans="1:8" x14ac:dyDescent="0.45">
      <c r="A1092" s="1">
        <v>45834</v>
      </c>
      <c r="B1092">
        <v>546.22</v>
      </c>
      <c r="C1092">
        <f t="shared" ref="C1092:C1155" si="85">IFERROR((B1092/B1091)-1,"")</f>
        <v>9.3502845738784313E-3</v>
      </c>
      <c r="D1092">
        <f t="shared" ref="D1092:D1155" si="86">D1091*(1+C1092)</f>
        <v>1.69907925842976</v>
      </c>
      <c r="E1092">
        <f t="shared" ref="E1092:E1155" si="87">MAX(E1091,D1092)</f>
        <v>1.69907925842976</v>
      </c>
      <c r="F1092">
        <f t="shared" ref="F1092:F1155" si="88">D1092/E1092-1</f>
        <v>0</v>
      </c>
      <c r="G1092">
        <f t="shared" si="84"/>
        <v>0.12036441202359445</v>
      </c>
      <c r="H1092" s="1"/>
    </row>
    <row r="1093" spans="1:8" x14ac:dyDescent="0.45">
      <c r="A1093" s="1">
        <v>45835</v>
      </c>
      <c r="B1093">
        <v>548.09</v>
      </c>
      <c r="C1093">
        <f t="shared" si="85"/>
        <v>3.4235289809967373E-3</v>
      </c>
      <c r="D1093">
        <f t="shared" si="86"/>
        <v>1.7048961055120049</v>
      </c>
      <c r="E1093">
        <f t="shared" si="87"/>
        <v>1.7048961055120049</v>
      </c>
      <c r="F1093">
        <f t="shared" si="88"/>
        <v>0</v>
      </c>
      <c r="G1093">
        <f t="shared" si="84"/>
        <v>0.12037453424875642</v>
      </c>
      <c r="H1093" s="1"/>
    </row>
    <row r="1094" spans="1:8" x14ac:dyDescent="0.45">
      <c r="A1094" s="1">
        <v>45838</v>
      </c>
      <c r="B1094">
        <v>551.64</v>
      </c>
      <c r="C1094">
        <f t="shared" si="85"/>
        <v>6.4770384425913985E-3</v>
      </c>
      <c r="D1094">
        <f t="shared" si="86"/>
        <v>1.7159387831280304</v>
      </c>
      <c r="E1094">
        <f t="shared" si="87"/>
        <v>1.7159387831280304</v>
      </c>
      <c r="F1094">
        <f t="shared" si="88"/>
        <v>0</v>
      </c>
      <c r="G1094">
        <f t="shared" si="84"/>
        <v>0.12000174203573005</v>
      </c>
      <c r="H1094" s="1"/>
    </row>
    <row r="1095" spans="1:8" x14ac:dyDescent="0.45">
      <c r="A1095" s="1">
        <v>45839</v>
      </c>
      <c r="B1095">
        <v>546.99</v>
      </c>
      <c r="C1095">
        <f t="shared" si="85"/>
        <v>-8.4294104850989315E-3</v>
      </c>
      <c r="D1095">
        <f t="shared" si="86"/>
        <v>1.701474430757743</v>
      </c>
      <c r="E1095">
        <f t="shared" si="87"/>
        <v>1.7159387831280304</v>
      </c>
      <c r="F1095">
        <f t="shared" si="88"/>
        <v>-8.4294104850990426E-3</v>
      </c>
      <c r="G1095">
        <f t="shared" si="84"/>
        <v>0.12517445373940486</v>
      </c>
      <c r="H1095" s="1"/>
    </row>
    <row r="1096" spans="1:8" x14ac:dyDescent="0.45">
      <c r="A1096" s="1">
        <v>45840</v>
      </c>
      <c r="B1096">
        <v>550.79999999999995</v>
      </c>
      <c r="C1096">
        <f t="shared" si="85"/>
        <v>6.965392420336558E-3</v>
      </c>
      <c r="D1096">
        <f t="shared" si="86"/>
        <v>1.7133258678611394</v>
      </c>
      <c r="E1096">
        <f t="shared" si="87"/>
        <v>1.7159387831280304</v>
      </c>
      <c r="F1096">
        <f t="shared" si="88"/>
        <v>-1.522732216663214E-3</v>
      </c>
      <c r="G1096">
        <f t="shared" si="84"/>
        <v>0.12470806936061371</v>
      </c>
      <c r="H1096" s="1"/>
    </row>
    <row r="1097" spans="1:8" x14ac:dyDescent="0.45">
      <c r="A1097" s="1">
        <v>45841</v>
      </c>
      <c r="B1097">
        <v>556.22</v>
      </c>
      <c r="C1097">
        <f t="shared" si="85"/>
        <v>9.8402323892521348E-3</v>
      </c>
      <c r="D1097">
        <f t="shared" si="86"/>
        <v>1.7301853925594102</v>
      </c>
      <c r="E1097">
        <f t="shared" si="87"/>
        <v>1.7301853925594102</v>
      </c>
      <c r="F1097">
        <f t="shared" si="88"/>
        <v>0</v>
      </c>
      <c r="G1097">
        <f t="shared" si="84"/>
        <v>0.12761875514187107</v>
      </c>
      <c r="H1097" s="1"/>
    </row>
    <row r="1098" spans="1:8" x14ac:dyDescent="0.45">
      <c r="A1098" s="1">
        <v>45845</v>
      </c>
      <c r="B1098">
        <v>552.03</v>
      </c>
      <c r="C1098">
        <f t="shared" si="85"/>
        <v>-7.5329905433102473E-3</v>
      </c>
      <c r="D1098">
        <f t="shared" si="86"/>
        <v>1.7171519223590865</v>
      </c>
      <c r="E1098">
        <f t="shared" si="87"/>
        <v>1.7301853925594102</v>
      </c>
      <c r="F1098">
        <f t="shared" si="88"/>
        <v>-7.5329905433102473E-3</v>
      </c>
      <c r="G1098">
        <f t="shared" si="84"/>
        <v>0.12762514222302776</v>
      </c>
      <c r="H1098" s="1"/>
    </row>
    <row r="1099" spans="1:8" x14ac:dyDescent="0.45">
      <c r="A1099" s="1">
        <v>45846</v>
      </c>
      <c r="B1099">
        <v>552.34</v>
      </c>
      <c r="C1099">
        <f t="shared" si="85"/>
        <v>5.6156368313331484E-4</v>
      </c>
      <c r="D1099">
        <f t="shared" si="86"/>
        <v>1.7181162125171059</v>
      </c>
      <c r="E1099">
        <f t="shared" si="87"/>
        <v>1.7301853925594102</v>
      </c>
      <c r="F1099">
        <f t="shared" si="88"/>
        <v>-6.975657114091538E-3</v>
      </c>
      <c r="G1099">
        <f t="shared" si="84"/>
        <v>0.12488135880797388</v>
      </c>
      <c r="H1099" s="1"/>
    </row>
    <row r="1100" spans="1:8" x14ac:dyDescent="0.45">
      <c r="A1100" s="1">
        <v>45847</v>
      </c>
      <c r="B1100">
        <v>556.25</v>
      </c>
      <c r="C1100">
        <f t="shared" si="85"/>
        <v>7.0789730962812492E-3</v>
      </c>
      <c r="D1100">
        <f t="shared" si="86"/>
        <v>1.7302787109617992</v>
      </c>
      <c r="E1100">
        <f t="shared" si="87"/>
        <v>1.7302787109617992</v>
      </c>
      <c r="F1100">
        <f t="shared" si="88"/>
        <v>0</v>
      </c>
      <c r="G1100">
        <f t="shared" si="84"/>
        <v>0.12608553691275265</v>
      </c>
      <c r="H1100" s="1"/>
    </row>
    <row r="1101" spans="1:8" x14ac:dyDescent="0.45">
      <c r="A1101" s="1">
        <v>45848</v>
      </c>
      <c r="B1101">
        <v>555.45000000000005</v>
      </c>
      <c r="C1101">
        <f t="shared" si="85"/>
        <v>-1.4382022471909339E-3</v>
      </c>
      <c r="D1101">
        <f t="shared" si="86"/>
        <v>1.7277902202314273</v>
      </c>
      <c r="E1101">
        <f t="shared" si="87"/>
        <v>1.7302787109617992</v>
      </c>
      <c r="F1101">
        <f t="shared" si="88"/>
        <v>-1.4382022471909339E-3</v>
      </c>
      <c r="G1101">
        <f t="shared" si="84"/>
        <v>0.12574168795854054</v>
      </c>
      <c r="H1101" s="1"/>
    </row>
    <row r="1102" spans="1:8" x14ac:dyDescent="0.45">
      <c r="A1102" s="1">
        <v>45849</v>
      </c>
      <c r="B1102">
        <v>554.20000000000005</v>
      </c>
      <c r="C1102">
        <f t="shared" si="85"/>
        <v>-2.2504275812403884E-3</v>
      </c>
      <c r="D1102">
        <f t="shared" si="86"/>
        <v>1.7239019534652211</v>
      </c>
      <c r="E1102">
        <f t="shared" si="87"/>
        <v>1.7302787109617992</v>
      </c>
      <c r="F1102">
        <f t="shared" si="88"/>
        <v>-3.6853932584268723E-3</v>
      </c>
      <c r="G1102">
        <f t="shared" si="84"/>
        <v>0.12517157654396102</v>
      </c>
      <c r="H1102" s="1"/>
    </row>
    <row r="1103" spans="1:8" x14ac:dyDescent="0.45">
      <c r="A1103" s="1">
        <v>45852</v>
      </c>
      <c r="B1103">
        <v>556.21</v>
      </c>
      <c r="C1103">
        <f t="shared" si="85"/>
        <v>3.6268495128113365E-3</v>
      </c>
      <c r="D1103">
        <f t="shared" si="86"/>
        <v>1.730154286425281</v>
      </c>
      <c r="E1103">
        <f t="shared" si="87"/>
        <v>1.7302787109617992</v>
      </c>
      <c r="F1103">
        <f t="shared" si="88"/>
        <v>-7.1910112359296896E-5</v>
      </c>
      <c r="G1103">
        <f t="shared" si="84"/>
        <v>0.1252959624974366</v>
      </c>
      <c r="H1103" s="1"/>
    </row>
    <row r="1104" spans="1:8" x14ac:dyDescent="0.45">
      <c r="A1104" s="1">
        <v>45853</v>
      </c>
      <c r="B1104">
        <v>556.72</v>
      </c>
      <c r="C1104">
        <f t="shared" si="85"/>
        <v>9.1691986839492756E-4</v>
      </c>
      <c r="D1104">
        <f t="shared" si="86"/>
        <v>1.731740699265893</v>
      </c>
      <c r="E1104">
        <f t="shared" si="87"/>
        <v>1.731740699265893</v>
      </c>
      <c r="F1104">
        <f t="shared" si="88"/>
        <v>0</v>
      </c>
      <c r="G1104">
        <f t="shared" si="84"/>
        <v>0.11290912120908121</v>
      </c>
      <c r="H1104" s="1"/>
    </row>
    <row r="1105" spans="1:8" x14ac:dyDescent="0.45">
      <c r="A1105" s="1">
        <v>45854</v>
      </c>
      <c r="B1105">
        <v>557.29</v>
      </c>
      <c r="C1105">
        <f t="shared" si="85"/>
        <v>1.0238540020117703E-3</v>
      </c>
      <c r="D1105">
        <f t="shared" si="86"/>
        <v>1.7335137489112831</v>
      </c>
      <c r="E1105">
        <f t="shared" si="87"/>
        <v>1.7335137489112831</v>
      </c>
      <c r="F1105">
        <f t="shared" si="88"/>
        <v>0</v>
      </c>
      <c r="G1105">
        <f t="shared" si="84"/>
        <v>0.10504490176120553</v>
      </c>
      <c r="H1105" s="1"/>
    </row>
    <row r="1106" spans="1:8" x14ac:dyDescent="0.45">
      <c r="A1106" s="1">
        <v>45855</v>
      </c>
      <c r="B1106">
        <v>561.79999999999995</v>
      </c>
      <c r="C1106">
        <f t="shared" si="85"/>
        <v>8.0927344829442305E-3</v>
      </c>
      <c r="D1106">
        <f t="shared" si="86"/>
        <v>1.7475426154037554</v>
      </c>
      <c r="E1106">
        <f t="shared" si="87"/>
        <v>1.7475426154037554</v>
      </c>
      <c r="F1106">
        <f t="shared" si="88"/>
        <v>0</v>
      </c>
      <c r="G1106">
        <f t="shared" si="84"/>
        <v>9.7069023801323165E-2</v>
      </c>
      <c r="H1106" s="1"/>
    </row>
    <row r="1107" spans="1:8" x14ac:dyDescent="0.45">
      <c r="A1107" s="1">
        <v>45856</v>
      </c>
      <c r="B1107">
        <v>561.26</v>
      </c>
      <c r="C1107">
        <f t="shared" si="85"/>
        <v>-9.6119615521528257E-4</v>
      </c>
      <c r="D1107">
        <f t="shared" si="86"/>
        <v>1.7458628841607544</v>
      </c>
      <c r="E1107">
        <f t="shared" si="87"/>
        <v>1.7475426154037554</v>
      </c>
      <c r="F1107">
        <f t="shared" si="88"/>
        <v>-9.6119615521528257E-4</v>
      </c>
      <c r="G1107">
        <f t="shared" si="84"/>
        <v>9.7453975285046929E-2</v>
      </c>
      <c r="H1107" s="1"/>
    </row>
    <row r="1108" spans="1:8" x14ac:dyDescent="0.45">
      <c r="A1108" s="1">
        <v>45859</v>
      </c>
      <c r="B1108">
        <v>564.16999999999996</v>
      </c>
      <c r="C1108">
        <f t="shared" si="85"/>
        <v>5.1847628550047986E-3</v>
      </c>
      <c r="D1108">
        <f t="shared" si="86"/>
        <v>1.7549147691924827</v>
      </c>
      <c r="E1108">
        <f t="shared" si="87"/>
        <v>1.7549147691924827</v>
      </c>
      <c r="F1108">
        <f t="shared" si="88"/>
        <v>0</v>
      </c>
      <c r="G1108">
        <f t="shared" si="84"/>
        <v>9.4033831493873926E-2</v>
      </c>
      <c r="H1108" s="1"/>
    </row>
    <row r="1109" spans="1:8" x14ac:dyDescent="0.45">
      <c r="A1109" s="1">
        <v>45860</v>
      </c>
      <c r="B1109">
        <v>561.25</v>
      </c>
      <c r="C1109">
        <f t="shared" si="85"/>
        <v>-5.1757448995869426E-3</v>
      </c>
      <c r="D1109">
        <f t="shared" si="86"/>
        <v>1.7458317780266248</v>
      </c>
      <c r="E1109">
        <f t="shared" si="87"/>
        <v>1.7549147691924827</v>
      </c>
      <c r="F1109">
        <f t="shared" si="88"/>
        <v>-5.1757448995869426E-3</v>
      </c>
      <c r="G1109">
        <f t="shared" si="84"/>
        <v>9.6233842608830472E-2</v>
      </c>
      <c r="H1109" s="1"/>
    </row>
    <row r="1110" spans="1:8" x14ac:dyDescent="0.45">
      <c r="A1110" s="1">
        <v>45861</v>
      </c>
      <c r="B1110">
        <v>563.80999999999995</v>
      </c>
      <c r="C1110">
        <f t="shared" si="85"/>
        <v>4.5612472160354578E-3</v>
      </c>
      <c r="D1110">
        <f t="shared" si="86"/>
        <v>1.7537949483638149</v>
      </c>
      <c r="E1110">
        <f t="shared" si="87"/>
        <v>1.7549147691924827</v>
      </c>
      <c r="F1110">
        <f t="shared" si="88"/>
        <v>-6.3810553556575833E-4</v>
      </c>
      <c r="G1110">
        <f t="shared" ref="G1110:G1173" si="89">_xlfn.STDEV.S(C1091:C1110)*SQRT(252)</f>
        <v>8.4475587289100776E-2</v>
      </c>
      <c r="H1110" s="1"/>
    </row>
    <row r="1111" spans="1:8" x14ac:dyDescent="0.45">
      <c r="A1111" s="1">
        <v>45862</v>
      </c>
      <c r="B1111">
        <v>565.01</v>
      </c>
      <c r="C1111">
        <f t="shared" si="85"/>
        <v>2.1283765807631472E-3</v>
      </c>
      <c r="D1111">
        <f t="shared" si="86"/>
        <v>1.7575276844593732</v>
      </c>
      <c r="E1111">
        <f t="shared" si="87"/>
        <v>1.7575276844593732</v>
      </c>
      <c r="F1111">
        <f t="shared" si="88"/>
        <v>0</v>
      </c>
      <c r="G1111">
        <f t="shared" si="89"/>
        <v>8.4464856738229788E-2</v>
      </c>
      <c r="H1111" s="1"/>
    </row>
    <row r="1112" spans="1:8" x14ac:dyDescent="0.45">
      <c r="A1112" s="1">
        <v>45863</v>
      </c>
      <c r="B1112">
        <v>566.37</v>
      </c>
      <c r="C1112">
        <f t="shared" si="85"/>
        <v>2.4070370435922417E-3</v>
      </c>
      <c r="D1112">
        <f t="shared" si="86"/>
        <v>1.7617581187010058</v>
      </c>
      <c r="E1112">
        <f t="shared" si="87"/>
        <v>1.7617581187010058</v>
      </c>
      <c r="F1112">
        <f t="shared" si="88"/>
        <v>0</v>
      </c>
      <c r="G1112">
        <f t="shared" si="89"/>
        <v>8.0122959672850408E-2</v>
      </c>
      <c r="H1112" s="1"/>
    </row>
    <row r="1113" spans="1:8" x14ac:dyDescent="0.45">
      <c r="A1113" s="1">
        <v>45866</v>
      </c>
      <c r="B1113">
        <v>568.14</v>
      </c>
      <c r="C1113">
        <f t="shared" si="85"/>
        <v>3.1251655278350388E-3</v>
      </c>
      <c r="D1113">
        <f t="shared" si="86"/>
        <v>1.7672639044419538</v>
      </c>
      <c r="E1113">
        <f t="shared" si="87"/>
        <v>1.7672639044419538</v>
      </c>
      <c r="F1113">
        <f t="shared" si="88"/>
        <v>0</v>
      </c>
      <c r="G1113">
        <f t="shared" si="89"/>
        <v>8.0050977574422352E-2</v>
      </c>
      <c r="H1113" s="1"/>
    </row>
    <row r="1114" spans="1:8" x14ac:dyDescent="0.45">
      <c r="A1114" s="1">
        <v>45867</v>
      </c>
      <c r="B1114">
        <v>567.26</v>
      </c>
      <c r="C1114">
        <f t="shared" si="85"/>
        <v>-1.5489140000704005E-3</v>
      </c>
      <c r="D1114">
        <f t="shared" si="86"/>
        <v>1.7645265646385446</v>
      </c>
      <c r="E1114">
        <f t="shared" si="87"/>
        <v>1.7672639044419538</v>
      </c>
      <c r="F1114">
        <f t="shared" si="88"/>
        <v>-1.5489140000704005E-3</v>
      </c>
      <c r="G1114">
        <f t="shared" si="89"/>
        <v>7.8906369103667037E-2</v>
      </c>
      <c r="H1114" s="1"/>
    </row>
    <row r="1115" spans="1:8" x14ac:dyDescent="0.45">
      <c r="A1115" s="1">
        <v>45868</v>
      </c>
      <c r="B1115">
        <v>568.02</v>
      </c>
      <c r="C1115">
        <f t="shared" si="85"/>
        <v>1.3397736487676948E-3</v>
      </c>
      <c r="D1115">
        <f t="shared" si="86"/>
        <v>1.7668906308323979</v>
      </c>
      <c r="E1115">
        <f t="shared" si="87"/>
        <v>1.7672639044419538</v>
      </c>
      <c r="F1115">
        <f t="shared" si="88"/>
        <v>-2.1121554546421617E-4</v>
      </c>
      <c r="G1115">
        <f t="shared" si="89"/>
        <v>6.9851552982471823E-2</v>
      </c>
      <c r="H1115" s="1"/>
    </row>
    <row r="1116" spans="1:8" x14ac:dyDescent="0.45">
      <c r="A1116" s="1">
        <v>45869</v>
      </c>
      <c r="B1116">
        <v>565.01</v>
      </c>
      <c r="C1116">
        <f t="shared" si="85"/>
        <v>-5.2991091862962802E-3</v>
      </c>
      <c r="D1116">
        <f t="shared" si="86"/>
        <v>1.7575276844593732</v>
      </c>
      <c r="E1116">
        <f t="shared" si="87"/>
        <v>1.7672639044419538</v>
      </c>
      <c r="F1116">
        <f t="shared" si="88"/>
        <v>-5.5092054775232047E-3</v>
      </c>
      <c r="G1116">
        <f t="shared" si="89"/>
        <v>7.1593880623764136E-2</v>
      </c>
      <c r="H1116" s="1"/>
    </row>
    <row r="1117" spans="1:8" x14ac:dyDescent="0.45">
      <c r="A1117" s="1">
        <v>45870</v>
      </c>
      <c r="B1117">
        <v>553.88</v>
      </c>
      <c r="C1117">
        <f t="shared" si="85"/>
        <v>-1.9698766393515199E-2</v>
      </c>
      <c r="D1117">
        <f t="shared" si="86"/>
        <v>1.7229065571730724</v>
      </c>
      <c r="E1117">
        <f t="shared" si="87"/>
        <v>1.7672639044419538</v>
      </c>
      <c r="F1117">
        <f t="shared" si="88"/>
        <v>-2.5099447319322676E-2</v>
      </c>
      <c r="G1117">
        <f t="shared" si="89"/>
        <v>9.7033765715978229E-2</v>
      </c>
      <c r="H1117" s="1"/>
    </row>
    <row r="1118" spans="1:8" x14ac:dyDescent="0.45">
      <c r="A1118" s="1">
        <v>45873</v>
      </c>
      <c r="B1118">
        <v>564.1</v>
      </c>
      <c r="C1118">
        <f t="shared" si="85"/>
        <v>1.8451650176933621E-2</v>
      </c>
      <c r="D1118">
        <f t="shared" si="86"/>
        <v>1.754697026253575</v>
      </c>
      <c r="E1118">
        <f t="shared" si="87"/>
        <v>1.7672639044419538</v>
      </c>
      <c r="F1118">
        <f t="shared" si="88"/>
        <v>-7.1109233639595759E-3</v>
      </c>
      <c r="G1118">
        <f t="shared" si="89"/>
        <v>0.1134184309050013</v>
      </c>
      <c r="H1118" s="1"/>
    </row>
    <row r="1119" spans="1:8" x14ac:dyDescent="0.45">
      <c r="A1119" s="1">
        <v>45874</v>
      </c>
      <c r="B1119">
        <v>560.27</v>
      </c>
      <c r="C1119">
        <f t="shared" si="85"/>
        <v>-6.7895763162560963E-3</v>
      </c>
      <c r="D1119">
        <f t="shared" si="86"/>
        <v>1.7427833768819188</v>
      </c>
      <c r="E1119">
        <f t="shared" si="87"/>
        <v>1.7672639044419538</v>
      </c>
      <c r="F1119">
        <f t="shared" si="88"/>
        <v>-1.3852219523357023E-2</v>
      </c>
      <c r="G1119">
        <f t="shared" si="89"/>
        <v>0.11683690908223641</v>
      </c>
      <c r="H1119" s="1"/>
    </row>
    <row r="1120" spans="1:8" x14ac:dyDescent="0.45">
      <c r="A1120" s="1">
        <v>45875</v>
      </c>
      <c r="B1120">
        <v>567.32000000000005</v>
      </c>
      <c r="C1120">
        <f t="shared" si="85"/>
        <v>1.2583218805219065E-2</v>
      </c>
      <c r="D1120">
        <f t="shared" si="86"/>
        <v>1.7647132014433224</v>
      </c>
      <c r="E1120">
        <f t="shared" si="87"/>
        <v>1.7672639044419538</v>
      </c>
      <c r="F1120">
        <f t="shared" si="88"/>
        <v>-1.4433062273383479E-3</v>
      </c>
      <c r="G1120">
        <f t="shared" si="89"/>
        <v>0.12230420380564953</v>
      </c>
      <c r="H1120" s="1"/>
    </row>
    <row r="1121" spans="1:8" x14ac:dyDescent="0.45">
      <c r="A1121" s="1">
        <v>45876</v>
      </c>
      <c r="B1121">
        <v>569.24</v>
      </c>
      <c r="C1121">
        <f t="shared" si="85"/>
        <v>3.3843333568355227E-3</v>
      </c>
      <c r="D1121">
        <f t="shared" si="86"/>
        <v>1.7706855791962151</v>
      </c>
      <c r="E1121">
        <f t="shared" si="87"/>
        <v>1.7706855791962151</v>
      </c>
      <c r="F1121">
        <f t="shared" si="88"/>
        <v>0</v>
      </c>
      <c r="G1121">
        <f t="shared" si="89"/>
        <v>0.12221972436062521</v>
      </c>
      <c r="H1121" s="1"/>
    </row>
    <row r="1122" spans="1:8" x14ac:dyDescent="0.45">
      <c r="A1122" s="1">
        <v>45877</v>
      </c>
      <c r="B1122">
        <v>574.54999999999995</v>
      </c>
      <c r="C1122">
        <f t="shared" si="85"/>
        <v>9.3282271098305003E-3</v>
      </c>
      <c r="D1122">
        <f t="shared" si="86"/>
        <v>1.7872029364190591</v>
      </c>
      <c r="E1122">
        <f t="shared" si="87"/>
        <v>1.7872029364190591</v>
      </c>
      <c r="F1122">
        <f t="shared" si="88"/>
        <v>0</v>
      </c>
      <c r="G1122">
        <f t="shared" si="89"/>
        <v>0.12470042419236396</v>
      </c>
      <c r="H1122" s="1"/>
    </row>
    <row r="1123" spans="1:8" x14ac:dyDescent="0.45">
      <c r="A1123" s="1">
        <v>45880</v>
      </c>
      <c r="B1123">
        <v>572.85</v>
      </c>
      <c r="C1123">
        <f t="shared" si="85"/>
        <v>-2.9588373509702448E-3</v>
      </c>
      <c r="D1123">
        <f t="shared" si="86"/>
        <v>1.7819148936170188</v>
      </c>
      <c r="E1123">
        <f t="shared" si="87"/>
        <v>1.7872029364190591</v>
      </c>
      <c r="F1123">
        <f t="shared" si="88"/>
        <v>-2.9588373509702448E-3</v>
      </c>
      <c r="G1123">
        <f t="shared" si="89"/>
        <v>0.12563232509967173</v>
      </c>
      <c r="H1123" s="1"/>
    </row>
    <row r="1124" spans="1:8" x14ac:dyDescent="0.45">
      <c r="A1124" s="1">
        <v>45881</v>
      </c>
      <c r="B1124">
        <v>580.04999999999995</v>
      </c>
      <c r="C1124">
        <f t="shared" si="85"/>
        <v>1.256873527101332E-2</v>
      </c>
      <c r="D1124">
        <f t="shared" si="86"/>
        <v>1.8043113101903669</v>
      </c>
      <c r="E1124">
        <f t="shared" si="87"/>
        <v>1.8043113101903669</v>
      </c>
      <c r="F1124">
        <f t="shared" si="88"/>
        <v>0</v>
      </c>
      <c r="G1124">
        <f t="shared" si="89"/>
        <v>0.13157670317941556</v>
      </c>
      <c r="H1124" s="1"/>
    </row>
    <row r="1125" spans="1:8" x14ac:dyDescent="0.45">
      <c r="A1125" s="1">
        <v>45882</v>
      </c>
      <c r="B1125">
        <v>580.34</v>
      </c>
      <c r="C1125">
        <f t="shared" si="85"/>
        <v>4.9995690026727324E-4</v>
      </c>
      <c r="D1125">
        <f t="shared" si="86"/>
        <v>1.8052133880801269</v>
      </c>
      <c r="E1125">
        <f t="shared" si="87"/>
        <v>1.8052133880801269</v>
      </c>
      <c r="F1125">
        <f t="shared" si="88"/>
        <v>0</v>
      </c>
      <c r="G1125">
        <f t="shared" si="89"/>
        <v>0.13164598955755427</v>
      </c>
      <c r="H1125" s="1"/>
    </row>
    <row r="1126" spans="1:8" x14ac:dyDescent="0.45">
      <c r="A1126" s="1">
        <v>45883</v>
      </c>
      <c r="B1126">
        <v>579.89</v>
      </c>
      <c r="C1126">
        <f t="shared" si="85"/>
        <v>-7.7540751972993149E-4</v>
      </c>
      <c r="D1126">
        <f t="shared" si="86"/>
        <v>1.8038136120442925</v>
      </c>
      <c r="E1126">
        <f t="shared" si="87"/>
        <v>1.8052133880801269</v>
      </c>
      <c r="F1126">
        <f t="shared" si="88"/>
        <v>-7.7540751972993149E-4</v>
      </c>
      <c r="G1126">
        <f t="shared" si="89"/>
        <v>0.13001044728622882</v>
      </c>
      <c r="H1126" s="1"/>
    </row>
    <row r="1127" spans="1:8" x14ac:dyDescent="0.45">
      <c r="A1127" s="1">
        <v>45884</v>
      </c>
      <c r="B1127">
        <v>577.34</v>
      </c>
      <c r="C1127">
        <f t="shared" si="85"/>
        <v>-4.3973857110830572E-3</v>
      </c>
      <c r="D1127">
        <f t="shared" si="86"/>
        <v>1.7958815478412318</v>
      </c>
      <c r="E1127">
        <f t="shared" si="87"/>
        <v>1.8052133880801269</v>
      </c>
      <c r="F1127">
        <f t="shared" si="88"/>
        <v>-5.1693834648653958E-3</v>
      </c>
      <c r="G1127">
        <f t="shared" si="89"/>
        <v>0.13147835883378634</v>
      </c>
      <c r="H1127" s="1"/>
    </row>
    <row r="1128" spans="1:8" x14ac:dyDescent="0.45">
      <c r="A1128" s="1">
        <v>45887</v>
      </c>
      <c r="B1128">
        <v>577.11</v>
      </c>
      <c r="C1128">
        <f t="shared" si="85"/>
        <v>-3.983787716077547E-4</v>
      </c>
      <c r="D1128">
        <f t="shared" si="86"/>
        <v>1.7951661067562497</v>
      </c>
      <c r="E1128">
        <f t="shared" si="87"/>
        <v>1.8052133880801269</v>
      </c>
      <c r="F1128">
        <f t="shared" si="88"/>
        <v>-5.5657028638385064E-3</v>
      </c>
      <c r="G1128">
        <f t="shared" si="89"/>
        <v>0.13086481046412018</v>
      </c>
      <c r="H1128" s="1"/>
    </row>
    <row r="1129" spans="1:8" x14ac:dyDescent="0.45">
      <c r="A1129" s="1">
        <v>45888</v>
      </c>
      <c r="B1129">
        <v>569.28</v>
      </c>
      <c r="C1129">
        <f t="shared" si="85"/>
        <v>-1.3567604096272889E-2</v>
      </c>
      <c r="D1129">
        <f t="shared" si="86"/>
        <v>1.7708100037327332</v>
      </c>
      <c r="E1129">
        <f t="shared" si="87"/>
        <v>1.8052133880801269</v>
      </c>
      <c r="F1129">
        <f t="shared" si="88"/>
        <v>-1.9057793707137449E-2</v>
      </c>
      <c r="G1129">
        <f t="shared" si="89"/>
        <v>0.13937291938822099</v>
      </c>
      <c r="H1129" s="1"/>
    </row>
    <row r="1130" spans="1:8" x14ac:dyDescent="0.45">
      <c r="A1130" s="1">
        <v>45889</v>
      </c>
      <c r="B1130">
        <v>565.9</v>
      </c>
      <c r="C1130">
        <f t="shared" si="85"/>
        <v>-5.9373243395165476E-3</v>
      </c>
      <c r="D1130">
        <f t="shared" si="86"/>
        <v>1.7602961303969116</v>
      </c>
      <c r="E1130">
        <f t="shared" si="87"/>
        <v>1.8052133880801269</v>
      </c>
      <c r="F1130">
        <f t="shared" si="88"/>
        <v>-2.4881965744219081E-2</v>
      </c>
      <c r="G1130">
        <f t="shared" si="89"/>
        <v>0.14053971371039167</v>
      </c>
      <c r="H1130" s="1"/>
    </row>
    <row r="1131" spans="1:8" x14ac:dyDescent="0.45">
      <c r="A1131" s="1">
        <v>45890</v>
      </c>
      <c r="B1131">
        <v>563.28</v>
      </c>
      <c r="C1131">
        <f t="shared" si="85"/>
        <v>-4.6297932496908167E-3</v>
      </c>
      <c r="D1131">
        <f t="shared" si="86"/>
        <v>1.752146323254943</v>
      </c>
      <c r="E1131">
        <f t="shared" si="87"/>
        <v>1.8052133880801269</v>
      </c>
      <c r="F1131">
        <f t="shared" si="88"/>
        <v>-2.9396560636868241E-2</v>
      </c>
      <c r="G1131">
        <f t="shared" si="89"/>
        <v>0.1413689521138089</v>
      </c>
      <c r="H1131" s="1"/>
    </row>
    <row r="1132" spans="1:8" x14ac:dyDescent="0.45">
      <c r="A1132" s="1">
        <v>45891</v>
      </c>
      <c r="B1132">
        <v>571.97</v>
      </c>
      <c r="C1132">
        <f t="shared" si="85"/>
        <v>1.5427496094304827E-2</v>
      </c>
      <c r="D1132">
        <f t="shared" si="86"/>
        <v>1.7791775538136092</v>
      </c>
      <c r="E1132">
        <f t="shared" si="87"/>
        <v>1.8052133880801269</v>
      </c>
      <c r="F1132">
        <f t="shared" si="88"/>
        <v>-1.4422579866974705E-2</v>
      </c>
      <c r="G1132">
        <f t="shared" si="89"/>
        <v>0.15163306383047653</v>
      </c>
      <c r="H1132" s="1"/>
    </row>
    <row r="1133" spans="1:8" x14ac:dyDescent="0.45">
      <c r="A1133" s="1">
        <v>45894</v>
      </c>
      <c r="B1133">
        <v>570.32000000000005</v>
      </c>
      <c r="C1133">
        <f t="shared" si="85"/>
        <v>-2.8847666835672969E-3</v>
      </c>
      <c r="D1133">
        <f t="shared" si="86"/>
        <v>1.7740450416822169</v>
      </c>
      <c r="E1133">
        <f t="shared" si="87"/>
        <v>1.8052133880801269</v>
      </c>
      <c r="F1133">
        <f t="shared" si="88"/>
        <v>-1.7265740772650751E-2</v>
      </c>
      <c r="G1133">
        <f t="shared" si="89"/>
        <v>0.15177226621963522</v>
      </c>
      <c r="H1133" s="1"/>
    </row>
    <row r="1134" spans="1:8" x14ac:dyDescent="0.45">
      <c r="A1134" s="1">
        <v>45895</v>
      </c>
      <c r="B1134">
        <v>572.61</v>
      </c>
      <c r="C1134">
        <f t="shared" si="85"/>
        <v>4.0152896619440881E-3</v>
      </c>
      <c r="D1134">
        <f t="shared" si="86"/>
        <v>1.7811683463979067</v>
      </c>
      <c r="E1134">
        <f t="shared" si="87"/>
        <v>1.8052133880801269</v>
      </c>
      <c r="F1134">
        <f t="shared" si="88"/>
        <v>-1.3319778061136822E-2</v>
      </c>
      <c r="G1134">
        <f t="shared" si="89"/>
        <v>0.15218947986283857</v>
      </c>
      <c r="H1134" s="1"/>
    </row>
    <row r="1135" spans="1:8" x14ac:dyDescent="0.45">
      <c r="A1135" s="1">
        <v>45896</v>
      </c>
      <c r="B1135">
        <v>573.49</v>
      </c>
      <c r="C1135">
        <f t="shared" si="85"/>
        <v>1.5368226192347123E-3</v>
      </c>
      <c r="D1135">
        <f t="shared" si="86"/>
        <v>1.7839056862013158</v>
      </c>
      <c r="E1135">
        <f t="shared" si="87"/>
        <v>1.8052133880801269</v>
      </c>
      <c r="F1135">
        <f t="shared" si="88"/>
        <v>-1.180342557810965E-2</v>
      </c>
      <c r="G1135">
        <f t="shared" si="89"/>
        <v>0.15220528274979456</v>
      </c>
      <c r="H1135" s="1"/>
    </row>
    <row r="1136" spans="1:8" x14ac:dyDescent="0.45">
      <c r="A1136" s="1">
        <v>45897</v>
      </c>
      <c r="B1136">
        <v>577.08000000000004</v>
      </c>
      <c r="C1136">
        <f t="shared" si="85"/>
        <v>6.2599173481665549E-3</v>
      </c>
      <c r="D1136">
        <f t="shared" si="86"/>
        <v>1.7950727883538604</v>
      </c>
      <c r="E1136">
        <f t="shared" si="87"/>
        <v>1.8052133880801269</v>
      </c>
      <c r="F1136">
        <f t="shared" si="88"/>
        <v>-5.6173966984873758E-3</v>
      </c>
      <c r="G1136">
        <f t="shared" si="89"/>
        <v>0.15187100069055828</v>
      </c>
      <c r="H1136" s="1"/>
    </row>
    <row r="1137" spans="1:8" x14ac:dyDescent="0.45">
      <c r="A1137" s="1">
        <v>45898</v>
      </c>
      <c r="B1137">
        <v>570.4</v>
      </c>
      <c r="C1137">
        <f t="shared" si="85"/>
        <v>-1.1575518125736539E-2</v>
      </c>
      <c r="D1137">
        <f t="shared" si="86"/>
        <v>1.7742938907552539</v>
      </c>
      <c r="E1137">
        <f t="shared" si="87"/>
        <v>1.8052133880801269</v>
      </c>
      <c r="F1137">
        <f t="shared" si="88"/>
        <v>-1.7127890546921098E-2</v>
      </c>
      <c r="G1137">
        <f t="shared" si="89"/>
        <v>0.13933532290224873</v>
      </c>
      <c r="H1137" s="1"/>
    </row>
    <row r="1138" spans="1:8" x14ac:dyDescent="0.45">
      <c r="A1138" s="1">
        <v>45902</v>
      </c>
      <c r="B1138">
        <v>565.62</v>
      </c>
      <c r="C1138">
        <f t="shared" si="85"/>
        <v>-8.3800841514726221E-3</v>
      </c>
      <c r="D1138">
        <f t="shared" si="86"/>
        <v>1.759425158641281</v>
      </c>
      <c r="E1138">
        <f t="shared" si="87"/>
        <v>1.8052133880801269</v>
      </c>
      <c r="F1138">
        <f t="shared" si="88"/>
        <v>-2.5364441534273308E-2</v>
      </c>
      <c r="G1138">
        <f t="shared" si="89"/>
        <v>0.12816135779772378</v>
      </c>
      <c r="H1138" s="1"/>
    </row>
    <row r="1139" spans="1:8" x14ac:dyDescent="0.45">
      <c r="A1139" s="1">
        <v>45903</v>
      </c>
      <c r="B1139">
        <v>570.07000000000005</v>
      </c>
      <c r="C1139">
        <f t="shared" si="85"/>
        <v>7.8674728616385803E-3</v>
      </c>
      <c r="D1139">
        <f t="shared" si="86"/>
        <v>1.7732673883289753</v>
      </c>
      <c r="E1139">
        <f t="shared" si="87"/>
        <v>1.8052133880801269</v>
      </c>
      <c r="F1139">
        <f t="shared" si="88"/>
        <v>-1.769652272805633E-2</v>
      </c>
      <c r="G1139">
        <f t="shared" si="89"/>
        <v>0.12817206009147916</v>
      </c>
      <c r="H1139" s="1"/>
    </row>
    <row r="1140" spans="1:8" x14ac:dyDescent="0.45">
      <c r="A1140" s="1">
        <v>45904</v>
      </c>
      <c r="B1140">
        <v>575.23</v>
      </c>
      <c r="C1140">
        <f t="shared" si="85"/>
        <v>9.0515199887732933E-3</v>
      </c>
      <c r="D1140">
        <f t="shared" si="86"/>
        <v>1.7893181535398748</v>
      </c>
      <c r="E1140">
        <f t="shared" si="87"/>
        <v>1.8052133880801269</v>
      </c>
      <c r="F1140">
        <f t="shared" si="88"/>
        <v>-8.8051831684878845E-3</v>
      </c>
      <c r="G1140">
        <f t="shared" si="89"/>
        <v>0.12446107608029185</v>
      </c>
      <c r="H1140" s="1"/>
    </row>
    <row r="1141" spans="1:8" x14ac:dyDescent="0.45">
      <c r="A1141" s="1">
        <v>45905</v>
      </c>
      <c r="B1141">
        <v>576.05999999999995</v>
      </c>
      <c r="C1141">
        <f t="shared" si="85"/>
        <v>1.442901100429328E-3</v>
      </c>
      <c r="D1141">
        <f t="shared" si="86"/>
        <v>1.7918999626726357</v>
      </c>
      <c r="E1141">
        <f t="shared" si="87"/>
        <v>1.8052133880801269</v>
      </c>
      <c r="F1141">
        <f t="shared" si="88"/>
        <v>-7.3749870765418279E-3</v>
      </c>
      <c r="G1141">
        <f t="shared" si="89"/>
        <v>0.12410048153825906</v>
      </c>
      <c r="H1141" s="1"/>
    </row>
    <row r="1142" spans="1:8" x14ac:dyDescent="0.45">
      <c r="A1142" s="1">
        <v>45908</v>
      </c>
      <c r="B1142">
        <v>578.87</v>
      </c>
      <c r="C1142">
        <f t="shared" si="85"/>
        <v>4.8779641009617514E-3</v>
      </c>
      <c r="D1142">
        <f t="shared" si="86"/>
        <v>1.8006407863630676</v>
      </c>
      <c r="E1142">
        <f t="shared" si="87"/>
        <v>1.8052133880801269</v>
      </c>
      <c r="F1142">
        <f t="shared" si="88"/>
        <v>-2.5329978977844947E-3</v>
      </c>
      <c r="G1142">
        <f t="shared" si="89"/>
        <v>0.12092569055378471</v>
      </c>
      <c r="H1142" s="1"/>
    </row>
    <row r="1143" spans="1:8" x14ac:dyDescent="0.45">
      <c r="A1143" s="1">
        <v>45909</v>
      </c>
      <c r="B1143">
        <v>580.51</v>
      </c>
      <c r="C1143">
        <f t="shared" si="85"/>
        <v>2.833105878694564E-3</v>
      </c>
      <c r="D1143">
        <f t="shared" si="86"/>
        <v>1.8057421923603301</v>
      </c>
      <c r="E1143">
        <f t="shared" si="87"/>
        <v>1.8057421923603301</v>
      </c>
      <c r="F1143">
        <f t="shared" si="88"/>
        <v>0</v>
      </c>
      <c r="G1143">
        <f t="shared" si="89"/>
        <v>0.12053767714120657</v>
      </c>
      <c r="H1143" s="1"/>
    </row>
    <row r="1144" spans="1:8" x14ac:dyDescent="0.45">
      <c r="A1144" s="1">
        <v>45910</v>
      </c>
      <c r="B1144">
        <v>580.70000000000005</v>
      </c>
      <c r="C1144">
        <f t="shared" si="85"/>
        <v>3.272984100188836E-4</v>
      </c>
      <c r="D1144">
        <f t="shared" si="86"/>
        <v>1.8063332089087936</v>
      </c>
      <c r="E1144">
        <f t="shared" si="87"/>
        <v>1.8063332089087936</v>
      </c>
      <c r="F1144">
        <f t="shared" si="88"/>
        <v>0</v>
      </c>
      <c r="G1144">
        <f t="shared" si="89"/>
        <v>0.1120748768119374</v>
      </c>
      <c r="H1144" s="1"/>
    </row>
    <row r="1145" spans="1:8" x14ac:dyDescent="0.45">
      <c r="A1145" s="1">
        <v>45911</v>
      </c>
      <c r="B1145">
        <v>584.08000000000004</v>
      </c>
      <c r="C1145">
        <f t="shared" si="85"/>
        <v>5.8205613914241727E-3</v>
      </c>
      <c r="D1145">
        <f t="shared" si="86"/>
        <v>1.8168470822446154</v>
      </c>
      <c r="E1145">
        <f t="shared" si="87"/>
        <v>1.8168470822446154</v>
      </c>
      <c r="F1145">
        <f t="shared" si="88"/>
        <v>0</v>
      </c>
      <c r="G1145">
        <f t="shared" si="89"/>
        <v>0.11391569840573126</v>
      </c>
      <c r="H1145" s="1"/>
    </row>
    <row r="1146" spans="1:8" x14ac:dyDescent="0.45">
      <c r="A1146" s="1">
        <v>45912</v>
      </c>
      <c r="B1146">
        <v>586.66</v>
      </c>
      <c r="C1146">
        <f t="shared" si="85"/>
        <v>4.4172031228597586E-3</v>
      </c>
      <c r="D1146">
        <f t="shared" si="86"/>
        <v>1.8248724648500649</v>
      </c>
      <c r="E1146">
        <f t="shared" si="87"/>
        <v>1.8248724648500649</v>
      </c>
      <c r="F1146">
        <f t="shared" si="88"/>
        <v>0</v>
      </c>
      <c r="G1146">
        <f t="shared" si="89"/>
        <v>0.1147261951434615</v>
      </c>
      <c r="H1146" s="1"/>
    </row>
    <row r="1147" spans="1:8" x14ac:dyDescent="0.45">
      <c r="A1147" s="1">
        <v>45915</v>
      </c>
      <c r="B1147">
        <v>591.67999999999995</v>
      </c>
      <c r="C1147">
        <f t="shared" si="85"/>
        <v>8.5569154194933272E-3</v>
      </c>
      <c r="D1147">
        <f t="shared" si="86"/>
        <v>1.8404877441831493</v>
      </c>
      <c r="E1147">
        <f t="shared" si="87"/>
        <v>1.8404877441831493</v>
      </c>
      <c r="F1147">
        <f t="shared" si="88"/>
        <v>0</v>
      </c>
      <c r="G1147">
        <f t="shared" si="89"/>
        <v>0.1164365532349169</v>
      </c>
      <c r="H1147" s="1"/>
    </row>
    <row r="1148" spans="1:8" x14ac:dyDescent="0.45">
      <c r="A1148" s="1">
        <v>45916</v>
      </c>
      <c r="B1148">
        <v>591.17999999999995</v>
      </c>
      <c r="C1148">
        <f t="shared" si="85"/>
        <v>-8.4505137912382899E-4</v>
      </c>
      <c r="D1148">
        <f t="shared" si="86"/>
        <v>1.8389324374766669</v>
      </c>
      <c r="E1148">
        <f t="shared" si="87"/>
        <v>1.8404877441831493</v>
      </c>
      <c r="F1148">
        <f t="shared" si="88"/>
        <v>-8.4505137912382899E-4</v>
      </c>
      <c r="G1148">
        <f t="shared" si="89"/>
        <v>0.11653133449389599</v>
      </c>
      <c r="H1148" s="1"/>
    </row>
    <row r="1149" spans="1:8" x14ac:dyDescent="0.45">
      <c r="A1149" s="1">
        <v>45917</v>
      </c>
      <c r="B1149">
        <v>590</v>
      </c>
      <c r="C1149">
        <f t="shared" si="85"/>
        <v>-1.9960079840318778E-3</v>
      </c>
      <c r="D1149">
        <f t="shared" si="86"/>
        <v>1.8352619136493682</v>
      </c>
      <c r="E1149">
        <f t="shared" si="87"/>
        <v>1.8404877441831493</v>
      </c>
      <c r="F1149">
        <f t="shared" si="88"/>
        <v>-2.8393726338560299E-3</v>
      </c>
      <c r="G1149">
        <f t="shared" si="89"/>
        <v>0.10355840762746339</v>
      </c>
      <c r="H1149" s="1"/>
    </row>
    <row r="1150" spans="1:8" x14ac:dyDescent="0.45">
      <c r="A1150" s="1">
        <v>45918</v>
      </c>
      <c r="B1150">
        <v>595.32000000000005</v>
      </c>
      <c r="C1150">
        <f t="shared" si="85"/>
        <v>9.016949152542475E-3</v>
      </c>
      <c r="D1150">
        <f t="shared" si="86"/>
        <v>1.8518103770063423</v>
      </c>
      <c r="E1150">
        <f t="shared" si="87"/>
        <v>1.8518103770063423</v>
      </c>
      <c r="F1150">
        <f t="shared" si="88"/>
        <v>0</v>
      </c>
      <c r="G1150">
        <f t="shared" si="89"/>
        <v>0.1023188268163655</v>
      </c>
      <c r="H1150" s="1"/>
    </row>
    <row r="1151" spans="1:8" x14ac:dyDescent="0.45">
      <c r="A1151" s="1">
        <v>45919</v>
      </c>
      <c r="B1151">
        <v>599.35</v>
      </c>
      <c r="C1151">
        <f t="shared" si="85"/>
        <v>6.769468521131472E-3</v>
      </c>
      <c r="D1151">
        <f t="shared" si="86"/>
        <v>1.8643461490605913</v>
      </c>
      <c r="E1151">
        <f t="shared" si="87"/>
        <v>1.8643461490605913</v>
      </c>
      <c r="F1151">
        <f t="shared" si="88"/>
        <v>0</v>
      </c>
      <c r="G1151">
        <f t="shared" si="89"/>
        <v>9.9665830399438993E-2</v>
      </c>
      <c r="H1151" s="1"/>
    </row>
    <row r="1152" spans="1:8" x14ac:dyDescent="0.45">
      <c r="A1152" s="1">
        <v>45922</v>
      </c>
      <c r="B1152">
        <v>602.20000000000005</v>
      </c>
      <c r="C1152">
        <f t="shared" si="85"/>
        <v>4.7551514140318218E-3</v>
      </c>
      <c r="D1152">
        <f t="shared" si="86"/>
        <v>1.8732113972875415</v>
      </c>
      <c r="E1152">
        <f t="shared" si="87"/>
        <v>1.8732113972875415</v>
      </c>
      <c r="F1152">
        <f t="shared" si="88"/>
        <v>0</v>
      </c>
      <c r="G1152">
        <f t="shared" si="89"/>
        <v>8.880400364288081E-2</v>
      </c>
      <c r="H1152" s="1"/>
    </row>
    <row r="1153" spans="1:8" x14ac:dyDescent="0.45">
      <c r="A1153" s="1">
        <v>45923</v>
      </c>
      <c r="B1153">
        <v>598.20000000000005</v>
      </c>
      <c r="C1153">
        <f t="shared" si="85"/>
        <v>-6.6423115244105269E-3</v>
      </c>
      <c r="D1153">
        <f t="shared" si="86"/>
        <v>1.8607689436356813</v>
      </c>
      <c r="E1153">
        <f t="shared" si="87"/>
        <v>1.8732113972875415</v>
      </c>
      <c r="F1153">
        <f t="shared" si="88"/>
        <v>-6.6423115244105269E-3</v>
      </c>
      <c r="G1153">
        <f t="shared" si="89"/>
        <v>9.2790504100234497E-2</v>
      </c>
      <c r="H1153" s="1"/>
    </row>
    <row r="1154" spans="1:8" x14ac:dyDescent="0.45">
      <c r="A1154" s="1">
        <v>45924</v>
      </c>
      <c r="B1154">
        <v>596.1</v>
      </c>
      <c r="C1154">
        <f t="shared" si="85"/>
        <v>-3.5105315947844273E-3</v>
      </c>
      <c r="D1154">
        <f t="shared" si="86"/>
        <v>1.8542366554684546</v>
      </c>
      <c r="E1154">
        <f t="shared" si="87"/>
        <v>1.8732113972875415</v>
      </c>
      <c r="F1154">
        <f t="shared" si="88"/>
        <v>-1.0129525074726087E-2</v>
      </c>
      <c r="G1154">
        <f t="shared" si="89"/>
        <v>9.488069310975969E-2</v>
      </c>
      <c r="H1154" s="1"/>
    </row>
    <row r="1155" spans="1:8" x14ac:dyDescent="0.45">
      <c r="A1155" s="1">
        <v>45925</v>
      </c>
      <c r="B1155">
        <v>593.53</v>
      </c>
      <c r="C1155">
        <f t="shared" si="85"/>
        <v>-4.3113571548398788E-3</v>
      </c>
      <c r="D1155">
        <f t="shared" si="86"/>
        <v>1.8462423789971343</v>
      </c>
      <c r="E1155">
        <f t="shared" si="87"/>
        <v>1.8732113972875415</v>
      </c>
      <c r="F1155">
        <f t="shared" si="88"/>
        <v>-1.4397210229159962E-2</v>
      </c>
      <c r="G1155">
        <f t="shared" si="89"/>
        <v>9.7517495830495238E-2</v>
      </c>
      <c r="H1155" s="1"/>
    </row>
    <row r="1156" spans="1:8" x14ac:dyDescent="0.45">
      <c r="A1156" s="1">
        <v>45926</v>
      </c>
      <c r="B1156">
        <v>595.97</v>
      </c>
      <c r="C1156">
        <f t="shared" ref="C1156:C1219" si="90">IFERROR((B1156/B1155)-1,"")</f>
        <v>4.1109969167523186E-3</v>
      </c>
      <c r="D1156">
        <f t="shared" ref="D1156:D1219" si="91">D1155*(1+C1156)</f>
        <v>1.8538322757247689</v>
      </c>
      <c r="E1156">
        <f t="shared" ref="E1156:E1219" si="92">MAX(E1155,D1156)</f>
        <v>1.8732113972875415</v>
      </c>
      <c r="F1156">
        <f t="shared" ref="F1156:F1219" si="93">D1156/E1156-1</f>
        <v>-1.034540019926955E-2</v>
      </c>
      <c r="G1156">
        <f t="shared" si="89"/>
        <v>9.6488417886770705E-2</v>
      </c>
      <c r="H1156" s="1"/>
    </row>
    <row r="1157" spans="1:8" x14ac:dyDescent="0.45">
      <c r="A1157" s="1">
        <v>45929</v>
      </c>
      <c r="B1157">
        <v>598.73</v>
      </c>
      <c r="C1157">
        <f t="shared" si="90"/>
        <v>4.6311055925634115E-3</v>
      </c>
      <c r="D1157">
        <f t="shared" si="91"/>
        <v>1.8624175687445526</v>
      </c>
      <c r="E1157">
        <f t="shared" si="92"/>
        <v>1.8732113972875415</v>
      </c>
      <c r="F1157">
        <f t="shared" si="93"/>
        <v>-5.7622052474262109E-3</v>
      </c>
      <c r="G1157">
        <f t="shared" si="89"/>
        <v>8.3322695253206305E-2</v>
      </c>
      <c r="H1157" s="1"/>
    </row>
    <row r="1158" spans="1:8" x14ac:dyDescent="0.45">
      <c r="A1158" s="1">
        <v>45930</v>
      </c>
      <c r="B1158">
        <v>600.37</v>
      </c>
      <c r="C1158">
        <f t="shared" si="90"/>
        <v>2.7391311609572533E-3</v>
      </c>
      <c r="D1158">
        <f t="shared" si="91"/>
        <v>1.8675189747418151</v>
      </c>
      <c r="E1158">
        <f t="shared" si="92"/>
        <v>1.8732113972875415</v>
      </c>
      <c r="F1158">
        <f t="shared" si="93"/>
        <v>-3.0388575224180592E-3</v>
      </c>
      <c r="G1158">
        <f t="shared" si="89"/>
        <v>7.2864208472865469E-2</v>
      </c>
      <c r="H1158" s="1"/>
    </row>
    <row r="1159" spans="1:8" x14ac:dyDescent="0.45">
      <c r="A1159" s="1">
        <v>45931</v>
      </c>
      <c r="B1159">
        <v>603.25</v>
      </c>
      <c r="C1159">
        <f t="shared" si="90"/>
        <v>4.7970418242084811E-3</v>
      </c>
      <c r="D1159">
        <f t="shared" si="91"/>
        <v>1.8764775413711545</v>
      </c>
      <c r="E1159">
        <f t="shared" si="92"/>
        <v>1.8764775413711545</v>
      </c>
      <c r="F1159">
        <f t="shared" si="93"/>
        <v>0</v>
      </c>
      <c r="G1159">
        <f t="shared" si="89"/>
        <v>7.0930821405850664E-2</v>
      </c>
      <c r="H1159" s="1"/>
    </row>
    <row r="1160" spans="1:8" x14ac:dyDescent="0.45">
      <c r="A1160" s="1">
        <v>45932</v>
      </c>
      <c r="B1160">
        <v>605.73</v>
      </c>
      <c r="C1160">
        <f t="shared" si="90"/>
        <v>4.1110650642355306E-3</v>
      </c>
      <c r="D1160">
        <f t="shared" si="91"/>
        <v>1.884191862635308</v>
      </c>
      <c r="E1160">
        <f t="shared" si="92"/>
        <v>1.884191862635308</v>
      </c>
      <c r="F1160">
        <f t="shared" si="93"/>
        <v>0</v>
      </c>
      <c r="G1160">
        <f t="shared" si="89"/>
        <v>6.72678708553789E-2</v>
      </c>
      <c r="H1160" s="1"/>
    </row>
    <row r="1161" spans="1:8" x14ac:dyDescent="0.45">
      <c r="A1161" s="1">
        <v>45933</v>
      </c>
      <c r="B1161">
        <v>603.17999999999995</v>
      </c>
      <c r="C1161">
        <f t="shared" si="90"/>
        <v>-4.2097964439602453E-3</v>
      </c>
      <c r="D1161">
        <f t="shared" si="91"/>
        <v>1.8762597984322471</v>
      </c>
      <c r="E1161">
        <f t="shared" si="92"/>
        <v>1.884191862635308</v>
      </c>
      <c r="F1161">
        <f t="shared" si="93"/>
        <v>-4.2097964439602453E-3</v>
      </c>
      <c r="G1161">
        <f t="shared" si="89"/>
        <v>7.1416649704294774E-2</v>
      </c>
      <c r="H1161" s="1"/>
    </row>
    <row r="1162" spans="1:8" x14ac:dyDescent="0.45">
      <c r="A1162" s="1">
        <v>45936</v>
      </c>
      <c r="B1162">
        <v>607.71</v>
      </c>
      <c r="C1162">
        <f t="shared" si="90"/>
        <v>7.5101959614047864E-3</v>
      </c>
      <c r="D1162">
        <f t="shared" si="91"/>
        <v>1.8903508771929791</v>
      </c>
      <c r="E1162">
        <f t="shared" si="92"/>
        <v>1.8903508771929791</v>
      </c>
      <c r="F1162">
        <f t="shared" si="93"/>
        <v>0</v>
      </c>
      <c r="G1162">
        <f t="shared" si="89"/>
        <v>7.3258255992916063E-2</v>
      </c>
      <c r="H1162" s="1"/>
    </row>
    <row r="1163" spans="1:8" x14ac:dyDescent="0.45">
      <c r="A1163" s="1">
        <v>45937</v>
      </c>
      <c r="B1163">
        <v>604.51</v>
      </c>
      <c r="C1163">
        <f t="shared" si="90"/>
        <v>-5.2656694805088833E-3</v>
      </c>
      <c r="D1163">
        <f t="shared" si="91"/>
        <v>1.8803969142714909</v>
      </c>
      <c r="E1163">
        <f t="shared" si="92"/>
        <v>1.8903508771929791</v>
      </c>
      <c r="F1163">
        <f t="shared" si="93"/>
        <v>-5.2656694805088833E-3</v>
      </c>
      <c r="G1163">
        <f t="shared" si="89"/>
        <v>7.8164112077600587E-2</v>
      </c>
      <c r="H1163" s="1"/>
    </row>
    <row r="1164" spans="1:8" x14ac:dyDescent="0.45">
      <c r="A1164" s="1">
        <v>45938</v>
      </c>
      <c r="B1164">
        <v>611.44000000000005</v>
      </c>
      <c r="C1164">
        <f t="shared" si="90"/>
        <v>1.1463830209591297E-2</v>
      </c>
      <c r="D1164">
        <f t="shared" si="91"/>
        <v>1.9019534652233387</v>
      </c>
      <c r="E1164">
        <f t="shared" si="92"/>
        <v>1.9019534652233387</v>
      </c>
      <c r="F1164">
        <f t="shared" si="93"/>
        <v>0</v>
      </c>
      <c r="G1164">
        <f t="shared" si="89"/>
        <v>8.4655887696218846E-2</v>
      </c>
      <c r="H1164" s="1"/>
    </row>
    <row r="1165" spans="1:8" x14ac:dyDescent="0.45">
      <c r="A1165" s="1">
        <v>45939</v>
      </c>
      <c r="B1165">
        <v>610.70000000000005</v>
      </c>
      <c r="C1165">
        <f t="shared" si="90"/>
        <v>-1.2102577521915237E-3</v>
      </c>
      <c r="D1165">
        <f t="shared" si="91"/>
        <v>1.8996516112977446</v>
      </c>
      <c r="E1165">
        <f t="shared" si="92"/>
        <v>1.9019534652233387</v>
      </c>
      <c r="F1165">
        <f t="shared" si="93"/>
        <v>-1.2102577521915237E-3</v>
      </c>
      <c r="G1165">
        <f t="shared" si="89"/>
        <v>8.4782493257123837E-2</v>
      </c>
      <c r="H1165" s="1"/>
    </row>
    <row r="1166" spans="1:8" x14ac:dyDescent="0.45">
      <c r="A1166" s="1">
        <v>45940</v>
      </c>
      <c r="B1166">
        <v>589.5</v>
      </c>
      <c r="C1166">
        <f t="shared" si="90"/>
        <v>-3.471426232192576E-2</v>
      </c>
      <c r="D1166">
        <f t="shared" si="91"/>
        <v>1.8337066069428858</v>
      </c>
      <c r="E1166">
        <f t="shared" si="92"/>
        <v>1.9019534652233387</v>
      </c>
      <c r="F1166">
        <f t="shared" si="93"/>
        <v>-3.5882506869030606E-2</v>
      </c>
      <c r="G1166">
        <f t="shared" si="89"/>
        <v>0.15564927768706355</v>
      </c>
      <c r="H1166" s="1"/>
    </row>
    <row r="1167" spans="1:8" x14ac:dyDescent="0.45">
      <c r="A1167" s="1">
        <v>45943</v>
      </c>
      <c r="B1167">
        <v>602.01</v>
      </c>
      <c r="C1167">
        <f t="shared" si="90"/>
        <v>2.12213740458016E-2</v>
      </c>
      <c r="D1167">
        <f t="shared" si="91"/>
        <v>1.8726203807390784</v>
      </c>
      <c r="E1167">
        <f t="shared" si="92"/>
        <v>1.9019534652233387</v>
      </c>
      <c r="F1167">
        <f t="shared" si="93"/>
        <v>-1.5422608923197689E-2</v>
      </c>
      <c r="G1167">
        <f t="shared" si="89"/>
        <v>0.17036877993418831</v>
      </c>
      <c r="H1167" s="1"/>
    </row>
    <row r="1168" spans="1:8" x14ac:dyDescent="0.45">
      <c r="A1168" s="1">
        <v>45944</v>
      </c>
      <c r="B1168">
        <v>598</v>
      </c>
      <c r="C1168">
        <f t="shared" si="90"/>
        <v>-6.6610189199515224E-3</v>
      </c>
      <c r="D1168">
        <f t="shared" si="91"/>
        <v>1.8601468209530887</v>
      </c>
      <c r="E1168">
        <f t="shared" si="92"/>
        <v>1.9019534652233387</v>
      </c>
      <c r="F1168">
        <f t="shared" si="93"/>
        <v>-2.1980897553316781E-2</v>
      </c>
      <c r="G1168">
        <f t="shared" si="89"/>
        <v>0.1724070476945837</v>
      </c>
      <c r="H1168" s="1"/>
    </row>
    <row r="1169" spans="1:8" x14ac:dyDescent="0.45">
      <c r="A1169" s="1">
        <v>45945</v>
      </c>
      <c r="B1169">
        <v>602.22</v>
      </c>
      <c r="C1169">
        <f t="shared" si="90"/>
        <v>7.0568561872910163E-3</v>
      </c>
      <c r="D1169">
        <f t="shared" si="91"/>
        <v>1.8732736095558011</v>
      </c>
      <c r="E1169">
        <f t="shared" si="92"/>
        <v>1.9019534652233387</v>
      </c>
      <c r="F1169">
        <f t="shared" si="93"/>
        <v>-1.5079157398927179E-2</v>
      </c>
      <c r="G1169">
        <f t="shared" si="89"/>
        <v>0.17356885210971795</v>
      </c>
      <c r="H1169" s="1"/>
    </row>
    <row r="1170" spans="1:8" x14ac:dyDescent="0.45">
      <c r="A1170" s="1">
        <v>45946</v>
      </c>
      <c r="B1170">
        <v>599.99</v>
      </c>
      <c r="C1170">
        <f t="shared" si="90"/>
        <v>-3.7029656936004018E-3</v>
      </c>
      <c r="D1170">
        <f t="shared" si="91"/>
        <v>1.8663369416448889</v>
      </c>
      <c r="E1170">
        <f t="shared" si="92"/>
        <v>1.9019534652233387</v>
      </c>
      <c r="F1170">
        <f t="shared" si="93"/>
        <v>-1.872628548999089E-2</v>
      </c>
      <c r="G1170">
        <f t="shared" si="89"/>
        <v>0.17171992057284427</v>
      </c>
      <c r="H1170" s="1"/>
    </row>
    <row r="1171" spans="1:8" x14ac:dyDescent="0.45">
      <c r="A1171" s="1">
        <v>45947</v>
      </c>
      <c r="B1171">
        <v>603.92999999999995</v>
      </c>
      <c r="C1171">
        <f t="shared" si="90"/>
        <v>6.5667761129351021E-3</v>
      </c>
      <c r="D1171">
        <f t="shared" si="91"/>
        <v>1.878592758491971</v>
      </c>
      <c r="E1171">
        <f t="shared" si="92"/>
        <v>1.9019534652233387</v>
      </c>
      <c r="F1171">
        <f t="shared" si="93"/>
        <v>-1.2282480701295451E-2</v>
      </c>
      <c r="G1171">
        <f t="shared" si="89"/>
        <v>0.17162241796861183</v>
      </c>
      <c r="H1171" s="1"/>
    </row>
    <row r="1172" spans="1:8" x14ac:dyDescent="0.45">
      <c r="A1172" s="1">
        <v>45950</v>
      </c>
      <c r="B1172">
        <v>611.54</v>
      </c>
      <c r="C1172">
        <f t="shared" si="90"/>
        <v>1.2600798105740774E-2</v>
      </c>
      <c r="D1172">
        <f t="shared" si="91"/>
        <v>1.902264526564635</v>
      </c>
      <c r="E1172">
        <f t="shared" si="92"/>
        <v>1.902264526564635</v>
      </c>
      <c r="F1172">
        <f t="shared" si="93"/>
        <v>0</v>
      </c>
      <c r="G1172">
        <f t="shared" si="89"/>
        <v>0.17643288272071062</v>
      </c>
      <c r="H1172" s="1"/>
    </row>
    <row r="1173" spans="1:8" x14ac:dyDescent="0.45">
      <c r="A1173" s="1">
        <v>45951</v>
      </c>
      <c r="B1173">
        <v>611.38</v>
      </c>
      <c r="C1173">
        <f t="shared" si="90"/>
        <v>-2.6163456192562773E-4</v>
      </c>
      <c r="D1173">
        <f t="shared" si="91"/>
        <v>1.9017668284185605</v>
      </c>
      <c r="E1173">
        <f t="shared" si="92"/>
        <v>1.902264526564635</v>
      </c>
      <c r="F1173">
        <f t="shared" si="93"/>
        <v>-2.6163456192562773E-4</v>
      </c>
      <c r="G1173">
        <f t="shared" si="89"/>
        <v>0.17428991573493857</v>
      </c>
      <c r="H1173" s="1"/>
    </row>
    <row r="1174" spans="1:8" x14ac:dyDescent="0.45">
      <c r="A1174" s="1">
        <v>45952</v>
      </c>
      <c r="B1174">
        <v>605.49</v>
      </c>
      <c r="C1174">
        <f t="shared" si="90"/>
        <v>-9.6339428833130958E-3</v>
      </c>
      <c r="D1174">
        <f t="shared" si="91"/>
        <v>1.8834453154161965</v>
      </c>
      <c r="E1174">
        <f t="shared" si="92"/>
        <v>1.902264526564635</v>
      </c>
      <c r="F1174">
        <f t="shared" si="93"/>
        <v>-9.8930568728129442E-3</v>
      </c>
      <c r="G1174">
        <f t="shared" ref="G1174:G1237" si="94">_xlfn.STDEV.S(C1155:C1174)*SQRT(252)</f>
        <v>0.17778113653126915</v>
      </c>
      <c r="H1174" s="1"/>
    </row>
    <row r="1175" spans="1:8" x14ac:dyDescent="0.45">
      <c r="A1175" s="1">
        <v>45953</v>
      </c>
      <c r="B1175">
        <v>610.58000000000004</v>
      </c>
      <c r="C1175">
        <f t="shared" si="90"/>
        <v>8.4064146393829642E-3</v>
      </c>
      <c r="D1175">
        <f t="shared" si="91"/>
        <v>1.8992783376881885</v>
      </c>
      <c r="E1175">
        <f t="shared" si="92"/>
        <v>1.902264526564635</v>
      </c>
      <c r="F1175">
        <f t="shared" si="93"/>
        <v>-1.5698073715537664E-3</v>
      </c>
      <c r="G1175">
        <f t="shared" si="94"/>
        <v>0.17862136872923431</v>
      </c>
      <c r="H1175" s="1"/>
    </row>
    <row r="1176" spans="1:8" x14ac:dyDescent="0.45">
      <c r="A1176" s="1">
        <v>45954</v>
      </c>
      <c r="B1176">
        <v>617.1</v>
      </c>
      <c r="C1176">
        <f t="shared" si="90"/>
        <v>1.067837138458505E-2</v>
      </c>
      <c r="D1176">
        <f t="shared" si="91"/>
        <v>1.9195595371407204</v>
      </c>
      <c r="E1176">
        <f t="shared" si="92"/>
        <v>1.9195595371407204</v>
      </c>
      <c r="F1176">
        <f t="shared" si="93"/>
        <v>0</v>
      </c>
      <c r="G1176">
        <f t="shared" si="94"/>
        <v>0.1814049635353665</v>
      </c>
      <c r="H1176" s="1"/>
    </row>
    <row r="1177" spans="1:8" x14ac:dyDescent="0.45">
      <c r="A1177" s="1">
        <v>45957</v>
      </c>
      <c r="B1177">
        <v>628.09</v>
      </c>
      <c r="C1177">
        <f t="shared" si="90"/>
        <v>1.780910711391992E-2</v>
      </c>
      <c r="D1177">
        <f t="shared" si="91"/>
        <v>1.9537451785492059</v>
      </c>
      <c r="E1177">
        <f t="shared" si="92"/>
        <v>1.9537451785492059</v>
      </c>
      <c r="F1177">
        <f t="shared" si="93"/>
        <v>0</v>
      </c>
      <c r="G1177">
        <f t="shared" si="94"/>
        <v>0.18995622761537861</v>
      </c>
      <c r="H1177" s="1"/>
    </row>
    <row r="1178" spans="1:8" x14ac:dyDescent="0.45">
      <c r="A1178" s="1">
        <v>45958</v>
      </c>
      <c r="B1178">
        <v>632.91999999999996</v>
      </c>
      <c r="C1178">
        <f t="shared" si="90"/>
        <v>7.6899807352448502E-3</v>
      </c>
      <c r="D1178">
        <f t="shared" si="91"/>
        <v>1.9687694413338268</v>
      </c>
      <c r="E1178">
        <f t="shared" si="92"/>
        <v>1.9687694413338268</v>
      </c>
      <c r="F1178">
        <f t="shared" si="93"/>
        <v>0</v>
      </c>
      <c r="G1178">
        <f t="shared" si="94"/>
        <v>0.19086172390941844</v>
      </c>
      <c r="H1178" s="1"/>
    </row>
    <row r="1179" spans="1:8" x14ac:dyDescent="0.45">
      <c r="A1179" s="1">
        <v>45959</v>
      </c>
      <c r="B1179">
        <v>635.77</v>
      </c>
      <c r="C1179">
        <f t="shared" si="90"/>
        <v>4.5029387600328263E-3</v>
      </c>
      <c r="D1179">
        <f t="shared" si="91"/>
        <v>1.977634689560777</v>
      </c>
      <c r="E1179">
        <f t="shared" si="92"/>
        <v>1.977634689560777</v>
      </c>
      <c r="F1179">
        <f t="shared" si="93"/>
        <v>0</v>
      </c>
      <c r="G1179">
        <f t="shared" si="94"/>
        <v>0.19082197436819387</v>
      </c>
      <c r="H1179" s="1"/>
    </row>
    <row r="1180" spans="1:8" x14ac:dyDescent="0.45">
      <c r="A1180" s="1">
        <v>45960</v>
      </c>
      <c r="B1180">
        <v>626.04999999999995</v>
      </c>
      <c r="C1180">
        <f t="shared" si="90"/>
        <v>-1.5288547745253789E-2</v>
      </c>
      <c r="D1180">
        <f t="shared" si="91"/>
        <v>1.947399527186757</v>
      </c>
      <c r="E1180">
        <f t="shared" si="92"/>
        <v>1.977634689560777</v>
      </c>
      <c r="F1180">
        <f t="shared" si="93"/>
        <v>-1.5288547745253789E-2</v>
      </c>
      <c r="G1180">
        <f t="shared" si="94"/>
        <v>0.20106656020905561</v>
      </c>
      <c r="H1180" s="1"/>
    </row>
    <row r="1181" spans="1:8" x14ac:dyDescent="0.45">
      <c r="A1181" s="1">
        <v>45961</v>
      </c>
      <c r="B1181">
        <v>629.07000000000005</v>
      </c>
      <c r="C1181">
        <f t="shared" si="90"/>
        <v>4.8238958549637889E-3</v>
      </c>
      <c r="D1181">
        <f t="shared" si="91"/>
        <v>1.9567935796939118</v>
      </c>
      <c r="E1181">
        <f t="shared" si="92"/>
        <v>1.977634689560777</v>
      </c>
      <c r="F1181">
        <f t="shared" si="93"/>
        <v>-1.0538402252386669E-2</v>
      </c>
      <c r="G1181">
        <f t="shared" si="94"/>
        <v>0.20008287578017611</v>
      </c>
      <c r="H1181" s="1"/>
    </row>
    <row r="1182" spans="1:8" x14ac:dyDescent="0.45">
      <c r="A1182" s="1">
        <v>45964</v>
      </c>
      <c r="B1182">
        <v>632.08000000000004</v>
      </c>
      <c r="C1182">
        <f t="shared" si="90"/>
        <v>4.7848411146613756E-3</v>
      </c>
      <c r="D1182">
        <f t="shared" si="91"/>
        <v>1.9661565260669367</v>
      </c>
      <c r="E1182">
        <f t="shared" si="92"/>
        <v>1.977634689560777</v>
      </c>
      <c r="F1182">
        <f t="shared" si="93"/>
        <v>-5.8039857181052534E-3</v>
      </c>
      <c r="G1182">
        <f t="shared" si="94"/>
        <v>0.19935239450428199</v>
      </c>
      <c r="H1182" s="1"/>
    </row>
    <row r="1183" spans="1:8" x14ac:dyDescent="0.45">
      <c r="A1183" s="1">
        <v>45965</v>
      </c>
      <c r="B1183">
        <v>619.25</v>
      </c>
      <c r="C1183">
        <f t="shared" si="90"/>
        <v>-2.029806353626129E-2</v>
      </c>
      <c r="D1183">
        <f t="shared" si="91"/>
        <v>1.9262473559785953</v>
      </c>
      <c r="E1183">
        <f t="shared" si="92"/>
        <v>1.977634689560777</v>
      </c>
      <c r="F1183">
        <f t="shared" si="93"/>
        <v>-2.5984239583496938E-2</v>
      </c>
      <c r="G1183">
        <f t="shared" si="94"/>
        <v>0.21331463630371705</v>
      </c>
      <c r="H1183" s="1"/>
    </row>
    <row r="1184" spans="1:8" x14ac:dyDescent="0.45">
      <c r="A1184" s="1">
        <v>45966</v>
      </c>
      <c r="B1184">
        <v>623.28</v>
      </c>
      <c r="C1184">
        <f t="shared" si="90"/>
        <v>6.5078724263221144E-3</v>
      </c>
      <c r="D1184">
        <f t="shared" si="91"/>
        <v>1.9387831280328442</v>
      </c>
      <c r="E1184">
        <f t="shared" si="92"/>
        <v>1.977634689560777</v>
      </c>
      <c r="F1184">
        <f t="shared" si="93"/>
        <v>-1.964546927347921E-2</v>
      </c>
      <c r="G1184">
        <f t="shared" si="94"/>
        <v>0.21089179830276908</v>
      </c>
      <c r="H1184" s="1"/>
    </row>
    <row r="1185" spans="1:8" x14ac:dyDescent="0.45">
      <c r="A1185" s="1">
        <v>45967</v>
      </c>
      <c r="B1185">
        <v>611.66999999999996</v>
      </c>
      <c r="C1185">
        <f t="shared" si="90"/>
        <v>-1.8627262225645036E-2</v>
      </c>
      <c r="D1185">
        <f t="shared" si="91"/>
        <v>1.9026689063083202</v>
      </c>
      <c r="E1185">
        <f t="shared" si="92"/>
        <v>1.977634689560777</v>
      </c>
      <c r="F1185">
        <f t="shared" si="93"/>
        <v>-3.790679019142118E-2</v>
      </c>
      <c r="G1185">
        <f t="shared" si="94"/>
        <v>0.22212392881179405</v>
      </c>
      <c r="H1185" s="1"/>
    </row>
    <row r="1186" spans="1:8" x14ac:dyDescent="0.45">
      <c r="A1186" s="1">
        <v>45968</v>
      </c>
      <c r="B1186">
        <v>609.74</v>
      </c>
      <c r="C1186">
        <f t="shared" si="90"/>
        <v>-3.155296156424181E-3</v>
      </c>
      <c r="D1186">
        <f t="shared" si="91"/>
        <v>1.8966654224212978</v>
      </c>
      <c r="E1186">
        <f t="shared" si="92"/>
        <v>1.977634689560777</v>
      </c>
      <c r="F1186">
        <f t="shared" si="93"/>
        <v>-4.0942479198452064E-2</v>
      </c>
      <c r="G1186">
        <f t="shared" si="94"/>
        <v>0.18078314607000484</v>
      </c>
      <c r="H1186" s="1"/>
    </row>
    <row r="1187" spans="1:8" x14ac:dyDescent="0.45">
      <c r="A1187" s="1">
        <v>45971</v>
      </c>
      <c r="B1187">
        <v>623.23</v>
      </c>
      <c r="C1187">
        <f t="shared" si="90"/>
        <v>2.2124184078459619E-2</v>
      </c>
      <c r="D1187">
        <f t="shared" si="91"/>
        <v>1.938627597362196</v>
      </c>
      <c r="E1187">
        <f t="shared" si="92"/>
        <v>1.977634689560777</v>
      </c>
      <c r="F1187">
        <f t="shared" si="93"/>
        <v>-1.9724114066407394E-2</v>
      </c>
      <c r="G1187">
        <f t="shared" si="94"/>
        <v>0.18209639211433282</v>
      </c>
      <c r="H1187" s="1"/>
    </row>
    <row r="1188" spans="1:8" x14ac:dyDescent="0.45">
      <c r="A1188" s="1">
        <v>45972</v>
      </c>
      <c r="B1188">
        <v>621.57000000000005</v>
      </c>
      <c r="C1188">
        <f t="shared" si="90"/>
        <v>-2.6635431542126886E-3</v>
      </c>
      <c r="D1188">
        <f t="shared" si="91"/>
        <v>1.9334639790966741</v>
      </c>
      <c r="E1188">
        <f t="shared" si="92"/>
        <v>1.977634689560777</v>
      </c>
      <c r="F1188">
        <f t="shared" si="93"/>
        <v>-2.2335121191625618E-2</v>
      </c>
      <c r="G1188">
        <f t="shared" si="94"/>
        <v>0.18017673598224704</v>
      </c>
      <c r="H1188" s="1"/>
    </row>
    <row r="1189" spans="1:8" x14ac:dyDescent="0.45">
      <c r="A1189" s="1">
        <v>45973</v>
      </c>
      <c r="B1189">
        <v>621.08000000000004</v>
      </c>
      <c r="C1189">
        <f t="shared" si="90"/>
        <v>-7.8832633492609272E-4</v>
      </c>
      <c r="D1189">
        <f t="shared" si="91"/>
        <v>1.9319397785243213</v>
      </c>
      <c r="E1189">
        <f t="shared" si="92"/>
        <v>1.977634689560777</v>
      </c>
      <c r="F1189">
        <f t="shared" si="93"/>
        <v>-2.3105840162322533E-2</v>
      </c>
      <c r="G1189">
        <f t="shared" si="94"/>
        <v>0.17940449203354364</v>
      </c>
      <c r="H1189" s="1"/>
    </row>
    <row r="1190" spans="1:8" x14ac:dyDescent="0.45">
      <c r="A1190" s="1">
        <v>45974</v>
      </c>
      <c r="B1190">
        <v>608.4</v>
      </c>
      <c r="C1190">
        <f t="shared" si="90"/>
        <v>-2.0416049462227193E-2</v>
      </c>
      <c r="D1190">
        <f t="shared" si="91"/>
        <v>1.8924972004479246</v>
      </c>
      <c r="E1190">
        <f t="shared" si="92"/>
        <v>1.977634689560777</v>
      </c>
      <c r="F1190">
        <f t="shared" si="93"/>
        <v>-4.3050159648929442E-2</v>
      </c>
      <c r="G1190">
        <f t="shared" si="94"/>
        <v>0.19508502841450087</v>
      </c>
      <c r="H1190" s="1"/>
    </row>
    <row r="1191" spans="1:8" x14ac:dyDescent="0.45">
      <c r="A1191" s="1">
        <v>45975</v>
      </c>
      <c r="B1191">
        <v>608.86</v>
      </c>
      <c r="C1191">
        <f t="shared" si="90"/>
        <v>7.560815253122577E-4</v>
      </c>
      <c r="D1191">
        <f t="shared" si="91"/>
        <v>1.8939280826178884</v>
      </c>
      <c r="E1191">
        <f t="shared" si="92"/>
        <v>1.977634689560777</v>
      </c>
      <c r="F1191">
        <f t="shared" si="93"/>
        <v>-4.2326627553989526E-2</v>
      </c>
      <c r="G1191">
        <f t="shared" si="94"/>
        <v>0.19388092800055098</v>
      </c>
      <c r="H1191" s="1"/>
    </row>
    <row r="1192" spans="1:8" x14ac:dyDescent="0.45">
      <c r="A1192" s="1">
        <v>45978</v>
      </c>
      <c r="B1192">
        <v>603.66</v>
      </c>
      <c r="C1192">
        <f t="shared" si="90"/>
        <v>-8.5405511940348511E-3</v>
      </c>
      <c r="D1192">
        <f t="shared" si="91"/>
        <v>1.8777528928704701</v>
      </c>
      <c r="E1192">
        <f t="shared" si="92"/>
        <v>1.977634689560777</v>
      </c>
      <c r="F1192">
        <f t="shared" si="93"/>
        <v>-5.0505686018528673E-2</v>
      </c>
      <c r="G1192">
        <f t="shared" si="94"/>
        <v>0.1908474467436323</v>
      </c>
      <c r="H1192" s="1"/>
    </row>
    <row r="1193" spans="1:8" x14ac:dyDescent="0.45">
      <c r="A1193" s="1">
        <v>45979</v>
      </c>
      <c r="B1193">
        <v>596.30999999999995</v>
      </c>
      <c r="C1193">
        <f t="shared" si="90"/>
        <v>-1.2175728058841151E-2</v>
      </c>
      <c r="D1193">
        <f t="shared" si="91"/>
        <v>1.8548898842851769</v>
      </c>
      <c r="E1193">
        <f t="shared" si="92"/>
        <v>1.977634689560777</v>
      </c>
      <c r="F1193">
        <f t="shared" si="93"/>
        <v>-6.2066470578982957E-2</v>
      </c>
      <c r="G1193">
        <f t="shared" si="94"/>
        <v>0.1952199092830095</v>
      </c>
      <c r="H1193" s="1"/>
    </row>
    <row r="1194" spans="1:8" x14ac:dyDescent="0.45">
      <c r="A1194" s="1">
        <v>45980</v>
      </c>
      <c r="B1194">
        <v>599.87</v>
      </c>
      <c r="C1194">
        <f t="shared" si="90"/>
        <v>5.9700491355167973E-3</v>
      </c>
      <c r="D1194">
        <f t="shared" si="91"/>
        <v>1.8659636680353324</v>
      </c>
      <c r="E1194">
        <f t="shared" si="92"/>
        <v>1.977634689560777</v>
      </c>
      <c r="F1194">
        <f t="shared" si="93"/>
        <v>-5.646696132249085E-2</v>
      </c>
      <c r="G1194">
        <f t="shared" si="94"/>
        <v>0.1941069245364109</v>
      </c>
      <c r="H1194" s="1"/>
    </row>
    <row r="1195" spans="1:8" x14ac:dyDescent="0.45">
      <c r="A1195" s="1">
        <v>45981</v>
      </c>
      <c r="B1195">
        <v>585.66999999999996</v>
      </c>
      <c r="C1195">
        <f t="shared" si="90"/>
        <v>-2.3671795555703756E-2</v>
      </c>
      <c r="D1195">
        <f t="shared" si="91"/>
        <v>1.8217929575712291</v>
      </c>
      <c r="E1195">
        <f t="shared" si="92"/>
        <v>1.977634689560777</v>
      </c>
      <c r="F1195">
        <f t="shared" si="93"/>
        <v>-7.8802082514116689E-2</v>
      </c>
      <c r="G1195">
        <f t="shared" si="94"/>
        <v>0.20773489987393548</v>
      </c>
      <c r="H1195" s="1"/>
    </row>
    <row r="1196" spans="1:8" x14ac:dyDescent="0.45">
      <c r="A1196" s="1">
        <v>45982</v>
      </c>
      <c r="B1196">
        <v>590.07000000000005</v>
      </c>
      <c r="C1196">
        <f t="shared" si="90"/>
        <v>7.512763160141489E-3</v>
      </c>
      <c r="D1196">
        <f t="shared" si="91"/>
        <v>1.8354796565882754</v>
      </c>
      <c r="E1196">
        <f t="shared" si="92"/>
        <v>1.977634689560777</v>
      </c>
      <c r="F1196">
        <f t="shared" si="93"/>
        <v>-7.1881340736429711E-2</v>
      </c>
      <c r="G1196">
        <f t="shared" si="94"/>
        <v>0.20546415741054833</v>
      </c>
      <c r="H1196" s="1"/>
    </row>
    <row r="1197" spans="1:8" x14ac:dyDescent="0.45">
      <c r="A1197" s="1">
        <v>45985</v>
      </c>
      <c r="B1197">
        <v>605.16</v>
      </c>
      <c r="C1197">
        <f t="shared" si="90"/>
        <v>2.5573237073567512E-2</v>
      </c>
      <c r="D1197">
        <f t="shared" si="91"/>
        <v>1.8824188129899175</v>
      </c>
      <c r="E1197">
        <f t="shared" si="92"/>
        <v>1.977634689560777</v>
      </c>
      <c r="F1197">
        <f t="shared" si="93"/>
        <v>-4.8146342230680927E-2</v>
      </c>
      <c r="G1197">
        <f t="shared" si="94"/>
        <v>0.21699585248259806</v>
      </c>
      <c r="H1197" s="1"/>
    </row>
    <row r="1198" spans="1:8" x14ac:dyDescent="0.45">
      <c r="A1198" s="1">
        <v>45986</v>
      </c>
      <c r="B1198">
        <v>608.89</v>
      </c>
      <c r="C1198">
        <f t="shared" si="90"/>
        <v>6.1636591975675614E-3</v>
      </c>
      <c r="D1198">
        <f t="shared" si="91"/>
        <v>1.8940214010202769</v>
      </c>
      <c r="E1198">
        <f t="shared" si="92"/>
        <v>1.977634689560777</v>
      </c>
      <c r="F1198">
        <f t="shared" si="93"/>
        <v>-4.2279440678232749E-2</v>
      </c>
      <c r="G1198">
        <f t="shared" si="94"/>
        <v>0.2161795152263121</v>
      </c>
      <c r="H1198" s="1"/>
    </row>
    <row r="1199" spans="1:8" x14ac:dyDescent="0.45">
      <c r="A1199" s="1">
        <v>45987</v>
      </c>
      <c r="B1199">
        <v>614.27</v>
      </c>
      <c r="C1199">
        <f t="shared" si="90"/>
        <v>8.8357502997258308E-3</v>
      </c>
      <c r="D1199">
        <f t="shared" si="91"/>
        <v>1.9107565011820289</v>
      </c>
      <c r="E1199">
        <f t="shared" si="92"/>
        <v>1.977634689560777</v>
      </c>
      <c r="F1199">
        <f t="shared" si="93"/>
        <v>-3.381726095915194E-2</v>
      </c>
      <c r="G1199">
        <f t="shared" si="94"/>
        <v>0.21840272259402282</v>
      </c>
      <c r="H1199" s="1"/>
    </row>
    <row r="1200" spans="1:8" x14ac:dyDescent="0.45">
      <c r="A1200" s="1">
        <v>45989</v>
      </c>
      <c r="B1200">
        <v>619.25</v>
      </c>
      <c r="C1200">
        <f t="shared" si="90"/>
        <v>8.1071841372686304E-3</v>
      </c>
      <c r="D1200">
        <f t="shared" si="91"/>
        <v>1.9262473559785946</v>
      </c>
      <c r="E1200">
        <f t="shared" si="92"/>
        <v>1.977634689560777</v>
      </c>
      <c r="F1200">
        <f t="shared" si="93"/>
        <v>-2.5984239583497271E-2</v>
      </c>
      <c r="G1200">
        <f t="shared" si="94"/>
        <v>0.21475361621893582</v>
      </c>
      <c r="H1200" s="1"/>
    </row>
    <row r="1201" spans="1:8" x14ac:dyDescent="0.45">
      <c r="A1201" s="1">
        <v>45992</v>
      </c>
      <c r="B1201">
        <v>617.16999999999996</v>
      </c>
      <c r="C1201">
        <f t="shared" si="90"/>
        <v>-3.3589018974566898E-3</v>
      </c>
      <c r="D1201">
        <f t="shared" si="91"/>
        <v>1.9197772800796271</v>
      </c>
      <c r="E1201">
        <f t="shared" si="92"/>
        <v>1.977634689560777</v>
      </c>
      <c r="F1201">
        <f t="shared" si="93"/>
        <v>-2.925586296931304E-2</v>
      </c>
      <c r="G1201">
        <f t="shared" si="94"/>
        <v>0.21404699862785045</v>
      </c>
      <c r="H1201" s="1"/>
    </row>
    <row r="1202" spans="1:8" x14ac:dyDescent="0.45">
      <c r="A1202" s="1">
        <v>45993</v>
      </c>
      <c r="B1202">
        <v>622</v>
      </c>
      <c r="C1202">
        <f t="shared" si="90"/>
        <v>7.8260446878495316E-3</v>
      </c>
      <c r="D1202">
        <f t="shared" si="91"/>
        <v>1.9348015428642484</v>
      </c>
      <c r="E1202">
        <f t="shared" si="92"/>
        <v>1.977634689560777</v>
      </c>
      <c r="F1202">
        <f t="shared" si="93"/>
        <v>-2.1658775972442923E-2</v>
      </c>
      <c r="G1202">
        <f t="shared" si="94"/>
        <v>0.215380312850349</v>
      </c>
      <c r="H1202" s="1"/>
    </row>
    <row r="1203" spans="1:8" x14ac:dyDescent="0.45">
      <c r="A1203" s="1">
        <v>45994</v>
      </c>
      <c r="B1203">
        <v>623.52</v>
      </c>
      <c r="C1203">
        <f t="shared" si="90"/>
        <v>2.4437299035369175E-3</v>
      </c>
      <c r="D1203">
        <f t="shared" si="91"/>
        <v>1.9395296752519551</v>
      </c>
      <c r="E1203">
        <f t="shared" si="92"/>
        <v>1.977634689560777</v>
      </c>
      <c r="F1203">
        <f t="shared" si="93"/>
        <v>-1.9267974267423882E-2</v>
      </c>
      <c r="G1203">
        <f t="shared" si="94"/>
        <v>0.20271217531947494</v>
      </c>
      <c r="H1203" s="1"/>
    </row>
    <row r="1204" spans="1:8" x14ac:dyDescent="0.45">
      <c r="A1204" s="1">
        <v>45995</v>
      </c>
      <c r="B1204">
        <v>622.94000000000005</v>
      </c>
      <c r="C1204">
        <f t="shared" si="90"/>
        <v>-9.3020272004096238E-4</v>
      </c>
      <c r="D1204">
        <f t="shared" si="91"/>
        <v>1.9377255194724357</v>
      </c>
      <c r="E1204">
        <f t="shared" si="92"/>
        <v>1.977634689560777</v>
      </c>
      <c r="F1204">
        <f t="shared" si="93"/>
        <v>-2.0180253865391573E-2</v>
      </c>
      <c r="G1204">
        <f t="shared" si="94"/>
        <v>0.20146558618912894</v>
      </c>
      <c r="H1204" s="1"/>
    </row>
    <row r="1205" spans="1:8" x14ac:dyDescent="0.45">
      <c r="A1205" s="1">
        <v>45996</v>
      </c>
      <c r="B1205">
        <v>625.48</v>
      </c>
      <c r="C1205">
        <f t="shared" si="90"/>
        <v>4.0774392397340264E-3</v>
      </c>
      <c r="D1205">
        <f t="shared" si="91"/>
        <v>1.9456264775413665</v>
      </c>
      <c r="E1205">
        <f t="shared" si="92"/>
        <v>1.977634689560777</v>
      </c>
      <c r="F1205">
        <f t="shared" si="93"/>
        <v>-1.618509838463611E-2</v>
      </c>
      <c r="G1205">
        <f t="shared" si="94"/>
        <v>0.1893023598468489</v>
      </c>
      <c r="H1205" s="1"/>
    </row>
    <row r="1206" spans="1:8" x14ac:dyDescent="0.45">
      <c r="A1206" s="1">
        <v>45999</v>
      </c>
      <c r="B1206">
        <v>624.28</v>
      </c>
      <c r="C1206">
        <f t="shared" si="90"/>
        <v>-1.9185265715930822E-3</v>
      </c>
      <c r="D1206">
        <f t="shared" si="91"/>
        <v>1.9418937414458084</v>
      </c>
      <c r="E1206">
        <f t="shared" si="92"/>
        <v>1.977634689560777</v>
      </c>
      <c r="F1206">
        <f t="shared" si="93"/>
        <v>-1.8072573414914417E-2</v>
      </c>
      <c r="G1206">
        <f t="shared" si="94"/>
        <v>0.18897693352051986</v>
      </c>
      <c r="H1206" s="1"/>
    </row>
    <row r="1207" spans="1:8" x14ac:dyDescent="0.45">
      <c r="A1207" s="1">
        <v>46000</v>
      </c>
      <c r="B1207">
        <v>625.04999999999995</v>
      </c>
      <c r="C1207">
        <f t="shared" si="90"/>
        <v>1.2334209008777464E-3</v>
      </c>
      <c r="D1207">
        <f t="shared" si="91"/>
        <v>1.9442889137737913</v>
      </c>
      <c r="E1207">
        <f t="shared" si="92"/>
        <v>1.977634689560777</v>
      </c>
      <c r="F1207">
        <f t="shared" si="93"/>
        <v>-1.6861443603819248E-2</v>
      </c>
      <c r="G1207">
        <f t="shared" si="94"/>
        <v>0.17216751713071929</v>
      </c>
      <c r="H1207" s="1"/>
    </row>
    <row r="1208" spans="1:8" x14ac:dyDescent="0.45">
      <c r="A1208" s="1">
        <v>46001</v>
      </c>
      <c r="B1208">
        <v>627.61</v>
      </c>
      <c r="C1208">
        <f t="shared" si="90"/>
        <v>4.0956723462124422E-3</v>
      </c>
      <c r="D1208">
        <f t="shared" si="91"/>
        <v>1.9522520841109821</v>
      </c>
      <c r="E1208">
        <f t="shared" si="92"/>
        <v>1.977634689560777</v>
      </c>
      <c r="F1208">
        <f t="shared" si="93"/>
        <v>-1.2834830205892267E-2</v>
      </c>
      <c r="G1208">
        <f t="shared" si="94"/>
        <v>0.17234722158723123</v>
      </c>
      <c r="H1208" s="1"/>
    </row>
    <row r="1209" spans="1:8" x14ac:dyDescent="0.45">
      <c r="A1209" s="1">
        <v>46002</v>
      </c>
      <c r="B1209">
        <v>625.58000000000004</v>
      </c>
      <c r="C1209">
        <f t="shared" si="90"/>
        <v>-3.2344927582415028E-3</v>
      </c>
      <c r="D1209">
        <f t="shared" si="91"/>
        <v>1.9459375388826632</v>
      </c>
      <c r="E1209">
        <f t="shared" si="92"/>
        <v>1.977634689560777</v>
      </c>
      <c r="F1209">
        <f t="shared" si="93"/>
        <v>-1.6027808798779519E-2</v>
      </c>
      <c r="G1209">
        <f t="shared" si="94"/>
        <v>0.1728153221077692</v>
      </c>
      <c r="H1209" s="1"/>
    </row>
    <row r="1210" spans="1:8" x14ac:dyDescent="0.45">
      <c r="A1210" s="1">
        <v>46003</v>
      </c>
      <c r="B1210">
        <v>613.62</v>
      </c>
      <c r="C1210">
        <f t="shared" si="90"/>
        <v>-1.9118258256338172E-2</v>
      </c>
      <c r="D1210">
        <f t="shared" si="91"/>
        <v>1.9087346024636014</v>
      </c>
      <c r="E1210">
        <f t="shared" si="92"/>
        <v>1.977634689560777</v>
      </c>
      <c r="F1210">
        <f t="shared" si="93"/>
        <v>-3.4839643267219444E-2</v>
      </c>
      <c r="G1210">
        <f t="shared" si="94"/>
        <v>0.17078978747891524</v>
      </c>
      <c r="H1210" s="1"/>
    </row>
    <row r="1211" spans="1:8" x14ac:dyDescent="0.45">
      <c r="A1211" s="1">
        <v>46006</v>
      </c>
      <c r="B1211">
        <v>610.54</v>
      </c>
      <c r="C1211">
        <f t="shared" si="90"/>
        <v>-5.0193931097421984E-3</v>
      </c>
      <c r="D1211">
        <f t="shared" si="91"/>
        <v>1.899153913151669</v>
      </c>
      <c r="E1211">
        <f t="shared" si="92"/>
        <v>1.977634689560777</v>
      </c>
      <c r="F1211">
        <f t="shared" si="93"/>
        <v>-3.9684162511600229E-2</v>
      </c>
      <c r="G1211">
        <f t="shared" si="94"/>
        <v>0.17189385959150669</v>
      </c>
      <c r="H1211" s="1"/>
    </row>
    <row r="1212" spans="1:8" x14ac:dyDescent="0.45">
      <c r="A1212" s="1">
        <v>46007</v>
      </c>
      <c r="B1212">
        <v>611.75</v>
      </c>
      <c r="C1212">
        <f t="shared" si="90"/>
        <v>1.9818521309005188E-3</v>
      </c>
      <c r="D1212">
        <f t="shared" si="91"/>
        <v>1.9029177553813568</v>
      </c>
      <c r="E1212">
        <f t="shared" si="92"/>
        <v>1.977634689560777</v>
      </c>
      <c r="F1212">
        <f t="shared" si="93"/>
        <v>-3.778095852273633E-2</v>
      </c>
      <c r="G1212">
        <f t="shared" si="94"/>
        <v>0.16883339215161014</v>
      </c>
      <c r="H1212" s="1"/>
    </row>
    <row r="1213" spans="1:8" x14ac:dyDescent="0.45">
      <c r="A1213" s="1">
        <v>46008</v>
      </c>
      <c r="B1213">
        <v>600.41</v>
      </c>
      <c r="C1213">
        <f t="shared" si="90"/>
        <v>-1.8536984062116901E-2</v>
      </c>
      <c r="D1213">
        <f t="shared" si="91"/>
        <v>1.8676433992783332</v>
      </c>
      <c r="E1213">
        <f t="shared" si="92"/>
        <v>1.977634689560777</v>
      </c>
      <c r="F1213">
        <f t="shared" si="93"/>
        <v>-5.5617597558865861E-2</v>
      </c>
      <c r="G1213">
        <f t="shared" si="94"/>
        <v>0.17660849290987521</v>
      </c>
      <c r="H1213" s="1"/>
    </row>
    <row r="1214" spans="1:8" x14ac:dyDescent="0.45">
      <c r="A1214" s="1">
        <v>46009</v>
      </c>
      <c r="B1214">
        <v>609.11</v>
      </c>
      <c r="C1214">
        <f t="shared" si="90"/>
        <v>1.449009843273763E-2</v>
      </c>
      <c r="D1214">
        <f t="shared" si="91"/>
        <v>1.894705735971129</v>
      </c>
      <c r="E1214">
        <f t="shared" si="92"/>
        <v>1.977634689560777</v>
      </c>
      <c r="F1214">
        <f t="shared" si="93"/>
        <v>-4.1933403589348495E-2</v>
      </c>
      <c r="G1214">
        <f t="shared" si="94"/>
        <v>0.18265734814217063</v>
      </c>
      <c r="H1214" s="1"/>
    </row>
    <row r="1215" spans="1:8" x14ac:dyDescent="0.45">
      <c r="A1215" s="1">
        <v>46010</v>
      </c>
      <c r="B1215">
        <v>617.04999999999995</v>
      </c>
      <c r="C1215">
        <f t="shared" si="90"/>
        <v>1.3035412322897288E-2</v>
      </c>
      <c r="D1215">
        <f t="shared" si="91"/>
        <v>1.9194040064700713</v>
      </c>
      <c r="E1215">
        <f t="shared" si="92"/>
        <v>1.977634689560777</v>
      </c>
      <c r="F1215">
        <f t="shared" si="93"/>
        <v>-2.9444610472340815E-2</v>
      </c>
      <c r="G1215">
        <f t="shared" si="94"/>
        <v>0.16274501690529963</v>
      </c>
      <c r="H1215" s="1"/>
    </row>
    <row r="1216" spans="1:8" x14ac:dyDescent="0.45">
      <c r="A1216" s="1">
        <v>46013</v>
      </c>
      <c r="B1216">
        <v>619.21</v>
      </c>
      <c r="C1216">
        <f t="shared" si="90"/>
        <v>3.5005266996193107E-3</v>
      </c>
      <c r="D1216">
        <f t="shared" si="91"/>
        <v>1.926122931442076</v>
      </c>
      <c r="E1216">
        <f t="shared" si="92"/>
        <v>1.977634689560777</v>
      </c>
      <c r="F1216">
        <f t="shared" si="93"/>
        <v>-2.6047155417839862E-2</v>
      </c>
      <c r="G1216">
        <f t="shared" si="94"/>
        <v>0.1617795216953587</v>
      </c>
      <c r="H1216" s="1"/>
    </row>
    <row r="1217" spans="1:8" x14ac:dyDescent="0.45">
      <c r="A1217" s="1">
        <v>46014</v>
      </c>
      <c r="B1217">
        <v>622.11</v>
      </c>
      <c r="C1217">
        <f t="shared" si="90"/>
        <v>4.6833868962063985E-3</v>
      </c>
      <c r="D1217">
        <f t="shared" si="91"/>
        <v>1.9351437103396745</v>
      </c>
      <c r="E1217">
        <f t="shared" si="92"/>
        <v>1.977634689560777</v>
      </c>
      <c r="F1217">
        <f t="shared" si="93"/>
        <v>-2.1485757428000851E-2</v>
      </c>
      <c r="G1217">
        <f t="shared" si="94"/>
        <v>0.13734856816243693</v>
      </c>
      <c r="H1217" s="1"/>
    </row>
    <row r="1218" spans="1:8" x14ac:dyDescent="0.45">
      <c r="A1218" s="1">
        <v>46015</v>
      </c>
      <c r="B1218">
        <v>623.92999999999995</v>
      </c>
      <c r="C1218">
        <f t="shared" si="90"/>
        <v>2.9255276398063579E-3</v>
      </c>
      <c r="D1218">
        <f t="shared" si="91"/>
        <v>1.9408050267512706</v>
      </c>
      <c r="E1218">
        <f t="shared" si="92"/>
        <v>1.977634689560777</v>
      </c>
      <c r="F1218">
        <f t="shared" si="93"/>
        <v>-1.8623086965412261E-2</v>
      </c>
      <c r="G1218">
        <f t="shared" si="94"/>
        <v>0.13634186303466855</v>
      </c>
      <c r="H1218" s="1"/>
    </row>
    <row r="1219" spans="1:8" x14ac:dyDescent="0.45">
      <c r="A1219" s="1">
        <v>46017</v>
      </c>
      <c r="B1219">
        <v>623.89</v>
      </c>
      <c r="C1219">
        <f t="shared" si="90"/>
        <v>-6.4109755902097554E-5</v>
      </c>
      <c r="D1219">
        <f t="shared" si="91"/>
        <v>1.940680602214752</v>
      </c>
      <c r="E1219">
        <f t="shared" si="92"/>
        <v>1.977634689560777</v>
      </c>
      <c r="F1219">
        <f t="shared" si="93"/>
        <v>-1.8686002799754853E-2</v>
      </c>
      <c r="G1219">
        <f t="shared" si="94"/>
        <v>0.13340794045491161</v>
      </c>
      <c r="H1219" s="1"/>
    </row>
    <row r="1220" spans="1:8" x14ac:dyDescent="0.45">
      <c r="A1220" s="1">
        <v>46020</v>
      </c>
      <c r="B1220">
        <v>620.87</v>
      </c>
      <c r="C1220">
        <f t="shared" ref="C1220:C1256" si="95">IFERROR((B1220/B1219)-1,"")</f>
        <v>-4.8405969000945293E-3</v>
      </c>
      <c r="D1220">
        <f t="shared" ref="D1220:D1256" si="96">D1219*(1+C1220)</f>
        <v>1.9312865497075977</v>
      </c>
      <c r="E1220">
        <f t="shared" ref="E1220:E1256" si="97">MAX(E1219,D1220)</f>
        <v>1.977634689560777</v>
      </c>
      <c r="F1220">
        <f t="shared" ref="F1220:F1256" si="98">D1220/E1220-1</f>
        <v>-2.343614829262175E-2</v>
      </c>
      <c r="G1220">
        <f t="shared" si="94"/>
        <v>0.13192449035131337</v>
      </c>
      <c r="H1220" s="1"/>
    </row>
    <row r="1221" spans="1:8" x14ac:dyDescent="0.45">
      <c r="A1221" s="1">
        <v>46021</v>
      </c>
      <c r="B1221">
        <v>619.42999999999995</v>
      </c>
      <c r="C1221">
        <f t="shared" si="95"/>
        <v>-2.3193261069145432E-3</v>
      </c>
      <c r="D1221">
        <f t="shared" si="96"/>
        <v>1.9268072663929279</v>
      </c>
      <c r="E1221">
        <f t="shared" si="97"/>
        <v>1.977634689560777</v>
      </c>
      <c r="F1221">
        <f t="shared" si="98"/>
        <v>-2.5701118328955719E-2</v>
      </c>
      <c r="G1221">
        <f t="shared" si="94"/>
        <v>0.13160756729147652</v>
      </c>
      <c r="H1221" s="1"/>
    </row>
    <row r="1222" spans="1:8" x14ac:dyDescent="0.45">
      <c r="A1222" s="1">
        <v>46022</v>
      </c>
      <c r="B1222">
        <v>614.30999999999995</v>
      </c>
      <c r="C1222">
        <f t="shared" si="95"/>
        <v>-8.2656635939493128E-3</v>
      </c>
      <c r="D1222">
        <f t="shared" si="96"/>
        <v>1.9108809257185468</v>
      </c>
      <c r="E1222">
        <f t="shared" si="97"/>
        <v>1.977634689560777</v>
      </c>
      <c r="F1222">
        <f t="shared" si="98"/>
        <v>-3.375434512480957E-2</v>
      </c>
      <c r="G1222">
        <f t="shared" si="94"/>
        <v>0.13166119833990522</v>
      </c>
      <c r="H1222" s="1"/>
    </row>
    <row r="1223" spans="1:8" x14ac:dyDescent="0.45">
      <c r="A1223" s="1">
        <v>46024</v>
      </c>
      <c r="B1223">
        <v>613.12</v>
      </c>
      <c r="C1223">
        <f t="shared" si="95"/>
        <v>-1.9371327180087716E-3</v>
      </c>
      <c r="D1223">
        <f t="shared" si="96"/>
        <v>1.9071792957571185</v>
      </c>
      <c r="E1223">
        <f t="shared" si="97"/>
        <v>1.977634689560777</v>
      </c>
      <c r="F1223">
        <f t="shared" si="98"/>
        <v>-3.5626091196502174E-2</v>
      </c>
      <c r="G1223">
        <f t="shared" si="94"/>
        <v>0.13124046274482085</v>
      </c>
      <c r="H1223" s="1"/>
    </row>
    <row r="1224" spans="1:8" x14ac:dyDescent="0.45">
      <c r="A1224" s="1">
        <v>46027</v>
      </c>
      <c r="B1224">
        <v>617.99</v>
      </c>
      <c r="C1224">
        <f t="shared" si="95"/>
        <v>7.9429801670145572E-3</v>
      </c>
      <c r="D1224">
        <f t="shared" si="96"/>
        <v>1.922327983078258</v>
      </c>
      <c r="E1224">
        <f t="shared" si="97"/>
        <v>1.977634689560777</v>
      </c>
      <c r="F1224">
        <f t="shared" si="98"/>
        <v>-2.7966088365289687E-2</v>
      </c>
      <c r="G1224">
        <f t="shared" si="94"/>
        <v>0.13486049186148391</v>
      </c>
      <c r="H1224" s="1"/>
    </row>
    <row r="1225" spans="1:8" x14ac:dyDescent="0.45">
      <c r="A1225" s="1">
        <v>46028</v>
      </c>
      <c r="B1225">
        <v>623.41999999999996</v>
      </c>
      <c r="C1225">
        <f t="shared" si="95"/>
        <v>8.786549944173716E-3</v>
      </c>
      <c r="D1225">
        <f t="shared" si="96"/>
        <v>1.939218613910658</v>
      </c>
      <c r="E1225">
        <f t="shared" si="97"/>
        <v>1.977634689560777</v>
      </c>
      <c r="F1225">
        <f t="shared" si="98"/>
        <v>-1.9425263853280805E-2</v>
      </c>
      <c r="G1225">
        <f t="shared" si="94"/>
        <v>0.13791889414941713</v>
      </c>
      <c r="H1225" s="1"/>
    </row>
    <row r="1226" spans="1:8" x14ac:dyDescent="0.45">
      <c r="A1226" s="1">
        <v>46029</v>
      </c>
      <c r="B1226">
        <v>624.02</v>
      </c>
      <c r="C1226">
        <f t="shared" si="95"/>
        <v>9.6243303070164821E-4</v>
      </c>
      <c r="D1226">
        <f t="shared" si="96"/>
        <v>1.941084981958437</v>
      </c>
      <c r="E1226">
        <f t="shared" si="97"/>
        <v>1.977634689560777</v>
      </c>
      <c r="F1226">
        <f t="shared" si="98"/>
        <v>-1.8481526338141596E-2</v>
      </c>
      <c r="G1226">
        <f t="shared" si="94"/>
        <v>0.13780217344531853</v>
      </c>
      <c r="H1226" s="1"/>
    </row>
    <row r="1227" spans="1:8" x14ac:dyDescent="0.45">
      <c r="A1227" s="1">
        <v>46030</v>
      </c>
      <c r="B1227">
        <v>620.47</v>
      </c>
      <c r="C1227">
        <f t="shared" si="95"/>
        <v>-5.6889202269156947E-3</v>
      </c>
      <c r="D1227">
        <f t="shared" si="96"/>
        <v>1.9300423043424113</v>
      </c>
      <c r="E1227">
        <f t="shared" si="97"/>
        <v>1.977634689560777</v>
      </c>
      <c r="F1227">
        <f t="shared" si="98"/>
        <v>-2.4065306636048001E-2</v>
      </c>
      <c r="G1227">
        <f t="shared" si="94"/>
        <v>0.13917435781514334</v>
      </c>
      <c r="H1227" s="1"/>
    </row>
    <row r="1228" spans="1:8" x14ac:dyDescent="0.45">
      <c r="A1228" s="1">
        <v>46031</v>
      </c>
      <c r="B1228">
        <v>626.65</v>
      </c>
      <c r="C1228">
        <f t="shared" si="95"/>
        <v>9.9601914677582837E-3</v>
      </c>
      <c r="D1228">
        <f t="shared" si="96"/>
        <v>1.9492658952345352</v>
      </c>
      <c r="E1228">
        <f t="shared" si="97"/>
        <v>1.977634689560777</v>
      </c>
      <c r="F1228">
        <f t="shared" si="98"/>
        <v>-1.4344810230115024E-2</v>
      </c>
      <c r="G1228">
        <f t="shared" si="94"/>
        <v>0.14314846517696578</v>
      </c>
      <c r="H1228" s="1"/>
    </row>
    <row r="1229" spans="1:8" x14ac:dyDescent="0.45">
      <c r="A1229" s="1">
        <v>46034</v>
      </c>
      <c r="B1229">
        <v>627.16999999999996</v>
      </c>
      <c r="C1229">
        <f t="shared" si="95"/>
        <v>8.298093034388998E-4</v>
      </c>
      <c r="D1229">
        <f t="shared" si="96"/>
        <v>1.950883414209277</v>
      </c>
      <c r="E1229">
        <f t="shared" si="97"/>
        <v>1.977634689560777</v>
      </c>
      <c r="F1229">
        <f t="shared" si="98"/>
        <v>-1.3526904383661109E-2</v>
      </c>
      <c r="G1229">
        <f t="shared" si="94"/>
        <v>0.1426708725541698</v>
      </c>
      <c r="H1229" s="1"/>
    </row>
    <row r="1230" spans="1:8" x14ac:dyDescent="0.45">
      <c r="A1230" s="1">
        <v>46035</v>
      </c>
      <c r="B1230">
        <v>626.24</v>
      </c>
      <c r="C1230">
        <f t="shared" si="95"/>
        <v>-1.4828515394549324E-3</v>
      </c>
      <c r="D1230">
        <f t="shared" si="96"/>
        <v>1.9479905437352196</v>
      </c>
      <c r="E1230">
        <f t="shared" si="97"/>
        <v>1.977634689560777</v>
      </c>
      <c r="F1230">
        <f t="shared" si="98"/>
        <v>-1.4989697532126756E-2</v>
      </c>
      <c r="G1230">
        <f t="shared" si="94"/>
        <v>0.12350191619349908</v>
      </c>
      <c r="H1230" s="1"/>
    </row>
    <row r="1231" spans="1:8" x14ac:dyDescent="0.45">
      <c r="A1231" s="1">
        <v>46036</v>
      </c>
      <c r="B1231">
        <v>619.54999999999995</v>
      </c>
      <c r="C1231">
        <f t="shared" si="95"/>
        <v>-1.0682805314256583E-2</v>
      </c>
      <c r="D1231">
        <f t="shared" si="96"/>
        <v>1.9271805400024835</v>
      </c>
      <c r="E1231">
        <f t="shared" si="97"/>
        <v>1.977634689560777</v>
      </c>
      <c r="F1231">
        <f t="shared" si="98"/>
        <v>-2.5512370825927944E-2</v>
      </c>
      <c r="G1231">
        <f t="shared" si="94"/>
        <v>0.12871766830133916</v>
      </c>
      <c r="H1231" s="1"/>
    </row>
    <row r="1232" spans="1:8" x14ac:dyDescent="0.45">
      <c r="A1232" s="1">
        <v>46037</v>
      </c>
      <c r="B1232">
        <v>621.78</v>
      </c>
      <c r="C1232">
        <f t="shared" si="95"/>
        <v>3.5993866516019768E-3</v>
      </c>
      <c r="D1232">
        <f t="shared" si="96"/>
        <v>1.9341172079133955</v>
      </c>
      <c r="E1232">
        <f t="shared" si="97"/>
        <v>1.977634689560777</v>
      </c>
      <c r="F1232">
        <f t="shared" si="98"/>
        <v>-2.2004813061327622E-2</v>
      </c>
      <c r="G1232">
        <f t="shared" si="94"/>
        <v>0.12904828108715941</v>
      </c>
      <c r="H1232" s="1"/>
    </row>
    <row r="1233" spans="1:8" x14ac:dyDescent="0.45">
      <c r="A1233" s="1">
        <v>46038</v>
      </c>
      <c r="B1233">
        <v>621.26</v>
      </c>
      <c r="C1233">
        <f t="shared" si="95"/>
        <v>-8.3630866222772493E-4</v>
      </c>
      <c r="D1233">
        <f t="shared" si="96"/>
        <v>1.9324996889386539</v>
      </c>
      <c r="E1233">
        <f t="shared" si="97"/>
        <v>1.977634689560777</v>
      </c>
      <c r="F1233">
        <f t="shared" si="98"/>
        <v>-2.2822718907781425E-2</v>
      </c>
      <c r="G1233">
        <f t="shared" si="94"/>
        <v>0.10724163524689473</v>
      </c>
      <c r="H1233" s="1"/>
    </row>
    <row r="1234" spans="1:8" x14ac:dyDescent="0.45">
      <c r="A1234" s="1">
        <v>46042</v>
      </c>
      <c r="B1234">
        <v>608.05999999999995</v>
      </c>
      <c r="C1234">
        <f t="shared" si="95"/>
        <v>-2.1247142903132454E-2</v>
      </c>
      <c r="D1234">
        <f t="shared" si="96"/>
        <v>1.8914395918875153</v>
      </c>
      <c r="E1234">
        <f t="shared" si="97"/>
        <v>1.977634689560777</v>
      </c>
      <c r="F1234">
        <f t="shared" si="98"/>
        <v>-4.3584944240842138E-2</v>
      </c>
      <c r="G1234">
        <f t="shared" si="94"/>
        <v>0.12448498855123596</v>
      </c>
      <c r="H1234" s="1"/>
    </row>
    <row r="1235" spans="1:8" x14ac:dyDescent="0.45">
      <c r="A1235" s="1">
        <v>46043</v>
      </c>
      <c r="B1235">
        <v>616.28</v>
      </c>
      <c r="C1235">
        <f t="shared" si="95"/>
        <v>1.351840278919858E-2</v>
      </c>
      <c r="D1235">
        <f t="shared" si="96"/>
        <v>1.9170088341420881</v>
      </c>
      <c r="E1235">
        <f t="shared" si="97"/>
        <v>1.977634689560777</v>
      </c>
      <c r="F1235">
        <f t="shared" si="98"/>
        <v>-3.0655740283436095E-2</v>
      </c>
      <c r="G1235">
        <f t="shared" si="94"/>
        <v>0.12516864731012581</v>
      </c>
      <c r="H1235" s="1"/>
    </row>
    <row r="1236" spans="1:8" x14ac:dyDescent="0.45">
      <c r="A1236" s="1">
        <v>46044</v>
      </c>
      <c r="B1236">
        <v>620.76</v>
      </c>
      <c r="C1236">
        <f t="shared" si="95"/>
        <v>7.2694229895502449E-3</v>
      </c>
      <c r="D1236">
        <f t="shared" si="96"/>
        <v>1.9309443822321715</v>
      </c>
      <c r="E1236">
        <f t="shared" si="97"/>
        <v>1.977634689560777</v>
      </c>
      <c r="F1236">
        <f t="shared" si="98"/>
        <v>-2.3609166837063933E-2</v>
      </c>
      <c r="G1236">
        <f t="shared" si="94"/>
        <v>0.12727690436464076</v>
      </c>
      <c r="H1236" s="1"/>
    </row>
    <row r="1237" spans="1:8" x14ac:dyDescent="0.45">
      <c r="A1237" s="1">
        <v>46045</v>
      </c>
      <c r="B1237">
        <v>622.72</v>
      </c>
      <c r="C1237">
        <f t="shared" si="95"/>
        <v>3.1574199368515909E-3</v>
      </c>
      <c r="D1237">
        <f t="shared" si="96"/>
        <v>1.9370411845215829</v>
      </c>
      <c r="E1237">
        <f t="shared" si="97"/>
        <v>1.977634689560777</v>
      </c>
      <c r="F1237">
        <f t="shared" si="98"/>
        <v>-2.0526290954276161E-2</v>
      </c>
      <c r="G1237">
        <f t="shared" si="94"/>
        <v>0.12667073811721552</v>
      </c>
      <c r="H1237" s="1"/>
    </row>
    <row r="1238" spans="1:8" x14ac:dyDescent="0.45">
      <c r="A1238" s="1">
        <v>46048</v>
      </c>
      <c r="B1238">
        <v>625.46</v>
      </c>
      <c r="C1238">
        <f t="shared" si="95"/>
        <v>4.4000513874615788E-3</v>
      </c>
      <c r="D1238">
        <f t="shared" si="96"/>
        <v>1.9455642652731073</v>
      </c>
      <c r="E1238">
        <f t="shared" si="97"/>
        <v>1.977634689560777</v>
      </c>
      <c r="F1238">
        <f t="shared" si="98"/>
        <v>-1.6216556301807405E-2</v>
      </c>
      <c r="G1238">
        <f t="shared" ref="G1238:G1256" si="99">_xlfn.STDEV.S(C1219:C1238)*SQRT(252)</f>
        <v>0.12721711771163602</v>
      </c>
      <c r="H1238" s="1"/>
    </row>
    <row r="1239" spans="1:8" x14ac:dyDescent="0.45">
      <c r="A1239" s="1">
        <v>46049</v>
      </c>
      <c r="B1239">
        <v>631.13</v>
      </c>
      <c r="C1239">
        <f t="shared" si="95"/>
        <v>9.0653279186518887E-3</v>
      </c>
      <c r="D1239">
        <f t="shared" si="96"/>
        <v>1.963201443324619</v>
      </c>
      <c r="E1239">
        <f t="shared" si="97"/>
        <v>1.977634689560777</v>
      </c>
      <c r="F1239">
        <f t="shared" si="98"/>
        <v>-7.2982367837427509E-3</v>
      </c>
      <c r="G1239">
        <f t="shared" si="99"/>
        <v>0.13107922561100863</v>
      </c>
      <c r="H1239" s="1"/>
    </row>
    <row r="1240" spans="1:8" x14ac:dyDescent="0.45">
      <c r="A1240" s="1">
        <v>46050</v>
      </c>
      <c r="B1240">
        <v>633.22</v>
      </c>
      <c r="C1240">
        <f t="shared" si="95"/>
        <v>3.3115206058973445E-3</v>
      </c>
      <c r="D1240">
        <f t="shared" si="96"/>
        <v>1.9697026253577159</v>
      </c>
      <c r="E1240">
        <f t="shared" si="97"/>
        <v>1.977634689560777</v>
      </c>
      <c r="F1240">
        <f t="shared" si="98"/>
        <v>-4.0108844393413889E-3</v>
      </c>
      <c r="G1240">
        <f t="shared" si="99"/>
        <v>0.12977114029309078</v>
      </c>
      <c r="H1240" s="1"/>
    </row>
    <row r="1241" spans="1:8" x14ac:dyDescent="0.45">
      <c r="A1241" s="1">
        <v>46051</v>
      </c>
      <c r="B1241">
        <v>629.42999999999995</v>
      </c>
      <c r="C1241">
        <f t="shared" si="95"/>
        <v>-5.9852815767033052E-3</v>
      </c>
      <c r="D1241">
        <f t="shared" si="96"/>
        <v>1.9579134005225782</v>
      </c>
      <c r="E1241">
        <f t="shared" si="97"/>
        <v>1.977634689560777</v>
      </c>
      <c r="F1241">
        <f t="shared" si="98"/>
        <v>-9.9721597433036768E-3</v>
      </c>
      <c r="G1241">
        <f t="shared" si="99"/>
        <v>0.13165993346939989</v>
      </c>
      <c r="H1241" s="1"/>
    </row>
    <row r="1242" spans="1:8" x14ac:dyDescent="0.45">
      <c r="A1242" s="1">
        <v>46052</v>
      </c>
      <c r="B1242">
        <v>621.87</v>
      </c>
      <c r="C1242">
        <f t="shared" si="95"/>
        <v>-1.2010866974881962E-2</v>
      </c>
      <c r="D1242">
        <f t="shared" si="96"/>
        <v>1.9343971631205628</v>
      </c>
      <c r="E1242">
        <f t="shared" si="97"/>
        <v>1.977634689560777</v>
      </c>
      <c r="F1242">
        <f t="shared" si="98"/>
        <v>-2.1863252434056513E-2</v>
      </c>
      <c r="G1242">
        <f t="shared" si="99"/>
        <v>0.13570216975555602</v>
      </c>
      <c r="H1242" s="1"/>
    </row>
    <row r="1243" spans="1:8" x14ac:dyDescent="0.45">
      <c r="A1243" s="1">
        <v>46055</v>
      </c>
      <c r="B1243">
        <v>626.14</v>
      </c>
      <c r="C1243">
        <f t="shared" si="95"/>
        <v>6.8663868654219584E-3</v>
      </c>
      <c r="D1243">
        <f t="shared" si="96"/>
        <v>1.9476794823939232</v>
      </c>
      <c r="E1243">
        <f t="shared" si="97"/>
        <v>1.977634689560777</v>
      </c>
      <c r="F1243">
        <f t="shared" si="98"/>
        <v>-1.5146987117983235E-2</v>
      </c>
      <c r="G1243">
        <f t="shared" si="99"/>
        <v>0.13707018396041087</v>
      </c>
      <c r="H1243" s="1"/>
    </row>
    <row r="1244" spans="1:8" x14ac:dyDescent="0.45">
      <c r="A1244" s="1">
        <v>46056</v>
      </c>
      <c r="B1244">
        <v>616.52</v>
      </c>
      <c r="C1244">
        <f t="shared" si="95"/>
        <v>-1.536397610757978E-2</v>
      </c>
      <c r="D1244">
        <f t="shared" si="96"/>
        <v>1.9177553813611996</v>
      </c>
      <c r="E1244">
        <f t="shared" si="97"/>
        <v>1.977634689560777</v>
      </c>
      <c r="F1244">
        <f t="shared" si="98"/>
        <v>-3.0278245277380544E-2</v>
      </c>
      <c r="G1244">
        <f t="shared" si="99"/>
        <v>0.1462665641801342</v>
      </c>
      <c r="H1244" s="1"/>
    </row>
    <row r="1245" spans="1:8" x14ac:dyDescent="0.45">
      <c r="A1245" s="1">
        <v>46057</v>
      </c>
      <c r="B1245">
        <v>605.75</v>
      </c>
      <c r="C1245">
        <f t="shared" si="95"/>
        <v>-1.7469019658729601E-2</v>
      </c>
      <c r="D1245">
        <f t="shared" si="96"/>
        <v>1.8842540749035663</v>
      </c>
      <c r="E1245">
        <f t="shared" si="97"/>
        <v>1.977634689560777</v>
      </c>
      <c r="F1245">
        <f t="shared" si="98"/>
        <v>-4.7218333674127644E-2</v>
      </c>
      <c r="G1245">
        <f t="shared" si="99"/>
        <v>0.15461420521572192</v>
      </c>
      <c r="H1245" s="1"/>
    </row>
    <row r="1246" spans="1:8" x14ac:dyDescent="0.45">
      <c r="A1246" s="1">
        <v>46058</v>
      </c>
      <c r="B1246">
        <v>597.03</v>
      </c>
      <c r="C1246">
        <f t="shared" si="95"/>
        <v>-1.4395377631035933E-2</v>
      </c>
      <c r="D1246">
        <f t="shared" si="96"/>
        <v>1.8571295259425111</v>
      </c>
      <c r="E1246">
        <f t="shared" si="97"/>
        <v>1.977634689560777</v>
      </c>
      <c r="F1246">
        <f t="shared" si="98"/>
        <v>-6.0933985560816306E-2</v>
      </c>
      <c r="G1246">
        <f t="shared" si="99"/>
        <v>0.16099230769482301</v>
      </c>
      <c r="H1246" s="1"/>
    </row>
    <row r="1247" spans="1:8" x14ac:dyDescent="0.45">
      <c r="A1247" s="1">
        <v>46059</v>
      </c>
      <c r="B1247">
        <v>609.65</v>
      </c>
      <c r="C1247">
        <f t="shared" si="95"/>
        <v>2.1137966266351782E-2</v>
      </c>
      <c r="D1247">
        <f t="shared" si="96"/>
        <v>1.8963854672141298</v>
      </c>
      <c r="E1247">
        <f t="shared" si="97"/>
        <v>1.977634689560777</v>
      </c>
      <c r="F1247">
        <f t="shared" si="98"/>
        <v>-4.1084039825723506E-2</v>
      </c>
      <c r="G1247">
        <f t="shared" si="99"/>
        <v>0.1802074434244948</v>
      </c>
      <c r="H1247" s="1"/>
    </row>
    <row r="1248" spans="1:8" x14ac:dyDescent="0.45">
      <c r="A1248" s="1">
        <v>46062</v>
      </c>
      <c r="B1248">
        <v>614.32000000000005</v>
      </c>
      <c r="C1248">
        <f t="shared" si="95"/>
        <v>7.6601328631182852E-3</v>
      </c>
      <c r="D1248">
        <f t="shared" si="96"/>
        <v>1.9109120318526767</v>
      </c>
      <c r="E1248">
        <f t="shared" si="97"/>
        <v>1.977634689560777</v>
      </c>
      <c r="F1248">
        <f t="shared" si="98"/>
        <v>-3.3738616166223867E-2</v>
      </c>
      <c r="G1248">
        <f t="shared" si="99"/>
        <v>0.17856031769229988</v>
      </c>
      <c r="H1248" s="1"/>
    </row>
    <row r="1249" spans="1:8" x14ac:dyDescent="0.45">
      <c r="A1249" s="1">
        <v>46063</v>
      </c>
      <c r="B1249">
        <v>611.47</v>
      </c>
      <c r="C1249">
        <f t="shared" si="95"/>
        <v>-4.6392759473889988E-3</v>
      </c>
      <c r="D1249">
        <f t="shared" si="96"/>
        <v>1.9020467836257262</v>
      </c>
      <c r="E1249">
        <f t="shared" si="97"/>
        <v>1.977634689560777</v>
      </c>
      <c r="F1249">
        <f t="shared" si="98"/>
        <v>-3.8221369363134805E-2</v>
      </c>
      <c r="G1249">
        <f t="shared" si="99"/>
        <v>0.17889924888132783</v>
      </c>
      <c r="H1249" s="1"/>
    </row>
    <row r="1250" spans="1:8" x14ac:dyDescent="0.45">
      <c r="A1250" s="1">
        <v>46064</v>
      </c>
      <c r="B1250">
        <v>613.11</v>
      </c>
      <c r="C1250">
        <f t="shared" si="95"/>
        <v>2.6820612622042717E-3</v>
      </c>
      <c r="D1250">
        <f t="shared" si="96"/>
        <v>1.9071481896229889</v>
      </c>
      <c r="E1250">
        <f t="shared" si="97"/>
        <v>1.977634689560777</v>
      </c>
      <c r="F1250">
        <f t="shared" si="98"/>
        <v>-3.5641820155087767E-2</v>
      </c>
      <c r="G1250">
        <f t="shared" si="99"/>
        <v>0.17942396351143136</v>
      </c>
      <c r="H1250" s="1"/>
    </row>
    <row r="1251" spans="1:8" x14ac:dyDescent="0.45">
      <c r="A1251" s="1">
        <v>46065</v>
      </c>
      <c r="B1251">
        <v>600.64</v>
      </c>
      <c r="C1251">
        <f t="shared" si="95"/>
        <v>-2.03389277617394E-2</v>
      </c>
      <c r="D1251">
        <f t="shared" si="96"/>
        <v>1.8683588403633149</v>
      </c>
      <c r="E1251">
        <f t="shared" si="97"/>
        <v>1.977634689560777</v>
      </c>
      <c r="F1251">
        <f t="shared" si="98"/>
        <v>-5.5255831511395903E-2</v>
      </c>
      <c r="G1251">
        <f t="shared" si="99"/>
        <v>0.18933685683001661</v>
      </c>
      <c r="H1251" s="1"/>
    </row>
    <row r="1252" spans="1:8" x14ac:dyDescent="0.45">
      <c r="A1252" s="1">
        <v>46066</v>
      </c>
      <c r="B1252">
        <v>601.91999999999996</v>
      </c>
      <c r="C1252">
        <f t="shared" si="95"/>
        <v>2.1310602024506853E-3</v>
      </c>
      <c r="D1252">
        <f t="shared" si="96"/>
        <v>1.87234042553191</v>
      </c>
      <c r="E1252">
        <f t="shared" si="97"/>
        <v>1.977634689560777</v>
      </c>
      <c r="F1252">
        <f t="shared" si="98"/>
        <v>-5.3242524812432523E-2</v>
      </c>
      <c r="G1252">
        <f t="shared" si="99"/>
        <v>0.18888551289280114</v>
      </c>
      <c r="H1252" s="1"/>
    </row>
    <row r="1253" spans="1:8" x14ac:dyDescent="0.45">
      <c r="A1253" s="1">
        <v>46070</v>
      </c>
      <c r="B1253">
        <v>601.29999999999995</v>
      </c>
      <c r="C1253">
        <f t="shared" si="95"/>
        <v>-1.0300372142477698E-3</v>
      </c>
      <c r="D1253">
        <f t="shared" si="96"/>
        <v>1.8704118452158718</v>
      </c>
      <c r="E1253">
        <f t="shared" si="97"/>
        <v>1.977634689560777</v>
      </c>
      <c r="F1253">
        <f t="shared" si="98"/>
        <v>-5.4217720244742917E-2</v>
      </c>
      <c r="G1253">
        <f t="shared" si="99"/>
        <v>0.18887699719705245</v>
      </c>
      <c r="H1253" s="1"/>
    </row>
    <row r="1254" spans="1:8" x14ac:dyDescent="0.45">
      <c r="A1254" s="1">
        <v>46071</v>
      </c>
      <c r="B1254">
        <v>605.79</v>
      </c>
      <c r="C1254">
        <f t="shared" si="95"/>
        <v>7.4671544985864813E-3</v>
      </c>
      <c r="D1254">
        <f t="shared" si="96"/>
        <v>1.884378499440085</v>
      </c>
      <c r="E1254">
        <f t="shared" si="97"/>
        <v>1.977634689560777</v>
      </c>
      <c r="F1254">
        <f t="shared" si="98"/>
        <v>-4.7155417839785052E-2</v>
      </c>
      <c r="G1254">
        <f t="shared" si="99"/>
        <v>0.17626972981354688</v>
      </c>
      <c r="H1254" s="1"/>
    </row>
    <row r="1255" spans="1:8" x14ac:dyDescent="0.45">
      <c r="A1255" s="1">
        <v>46072</v>
      </c>
      <c r="B1255">
        <v>603.47</v>
      </c>
      <c r="C1255">
        <f t="shared" si="95"/>
        <v>-3.8297099654994726E-3</v>
      </c>
      <c r="D1255">
        <f t="shared" si="96"/>
        <v>1.8771618763220064</v>
      </c>
      <c r="E1255">
        <f t="shared" si="97"/>
        <v>1.977634689560777</v>
      </c>
      <c r="F1255">
        <f t="shared" si="98"/>
        <v>-5.080453623165615E-2</v>
      </c>
      <c r="G1255">
        <f t="shared" si="99"/>
        <v>0.16906542812270273</v>
      </c>
      <c r="H1255" s="1"/>
    </row>
    <row r="1256" spans="1:8" x14ac:dyDescent="0.45">
      <c r="A1256" s="1">
        <v>46073</v>
      </c>
      <c r="B1256">
        <v>608.80999999999995</v>
      </c>
      <c r="C1256">
        <f t="shared" si="95"/>
        <v>8.8488242994679833E-3</v>
      </c>
      <c r="D1256">
        <f t="shared" si="96"/>
        <v>1.8937725519472395</v>
      </c>
      <c r="E1256">
        <f t="shared" si="97"/>
        <v>1.977634689560777</v>
      </c>
      <c r="F1256">
        <f t="shared" si="98"/>
        <v>-4.2405272346918044E-2</v>
      </c>
      <c r="G1256">
        <f t="shared" si="99"/>
        <v>0.17017879662977226</v>
      </c>
      <c r="H125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EE15-70CE-4B0E-8136-DA7EA970461B}">
  <dimension ref="A1:B10"/>
  <sheetViews>
    <sheetView workbookViewId="0">
      <selection activeCell="B17" sqref="B17"/>
    </sheetView>
  </sheetViews>
  <sheetFormatPr defaultRowHeight="14.25" x14ac:dyDescent="0.45"/>
  <cols>
    <col min="1" max="1" width="20.53125" customWidth="1"/>
  </cols>
  <sheetData>
    <row r="1" spans="1:2" x14ac:dyDescent="0.45">
      <c r="A1" t="s">
        <v>20</v>
      </c>
      <c r="B1">
        <v>0.04</v>
      </c>
    </row>
    <row r="2" spans="1:2" x14ac:dyDescent="0.45">
      <c r="A2" t="s">
        <v>11</v>
      </c>
      <c r="B2">
        <f>MIN(Calcs!A:A)</f>
        <v>44250</v>
      </c>
    </row>
    <row r="3" spans="1:2" x14ac:dyDescent="0.45">
      <c r="A3" t="s">
        <v>12</v>
      </c>
      <c r="B3">
        <f>MAX(Calcs!A:A)</f>
        <v>46073</v>
      </c>
    </row>
    <row r="4" spans="1:2" x14ac:dyDescent="0.45">
      <c r="A4" t="s">
        <v>13</v>
      </c>
      <c r="B4">
        <f>COUNT(Calcs!C:C)</f>
        <v>1254</v>
      </c>
    </row>
    <row r="5" spans="1:2" x14ac:dyDescent="0.45">
      <c r="A5" t="s">
        <v>14</v>
      </c>
      <c r="B5">
        <f>(LOOKUP(9.9E+307,Calcs!D:D))^(252/COUNT(Calcs!C:C))-1</f>
        <v>0.13692272940742756</v>
      </c>
    </row>
    <row r="6" spans="1:2" x14ac:dyDescent="0.45">
      <c r="A6" t="s">
        <v>15</v>
      </c>
      <c r="B6">
        <f>_xlfn.STDEV.S(Calcs!C:C)*SQRT(252)</f>
        <v>0.22577310344215762</v>
      </c>
    </row>
    <row r="7" spans="1:2" x14ac:dyDescent="0.45">
      <c r="A7" t="s">
        <v>16</v>
      </c>
      <c r="B7">
        <f>(B5-$B$1)/B6</f>
        <v>0.42929263021030695</v>
      </c>
    </row>
    <row r="8" spans="1:2" x14ac:dyDescent="0.45">
      <c r="A8" t="s">
        <v>17</v>
      </c>
      <c r="B8">
        <f>MIN(Calcs!F:F)</f>
        <v>-0.35617218247976468</v>
      </c>
    </row>
    <row r="9" spans="1:2" x14ac:dyDescent="0.45">
      <c r="A9" t="s">
        <v>18</v>
      </c>
      <c r="B9">
        <f>MAX(Calcs!C:C)</f>
        <v>0.12003076479353947</v>
      </c>
    </row>
    <row r="10" spans="1:2" x14ac:dyDescent="0.45">
      <c r="A10" t="s">
        <v>19</v>
      </c>
      <c r="B10">
        <f>MAX(Calcs!C:C)</f>
        <v>0.12003076479353947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C725-68EE-442B-8E0B-A82A26E6454B}">
  <dimension ref="B1:M5"/>
  <sheetViews>
    <sheetView tabSelected="1" zoomScale="35" zoomScaleNormal="62" workbookViewId="0">
      <selection activeCell="V81" sqref="V81"/>
    </sheetView>
  </sheetViews>
  <sheetFormatPr defaultRowHeight="14.25" x14ac:dyDescent="0.45"/>
  <cols>
    <col min="13" max="13" width="16.9296875" customWidth="1"/>
  </cols>
  <sheetData>
    <row r="1" spans="2:13" ht="14.65" thickBot="1" x14ac:dyDescent="0.5"/>
    <row r="2" spans="2:13" ht="32.25" thickBot="1" x14ac:dyDescent="1.05">
      <c r="B2" s="3" t="s">
        <v>24</v>
      </c>
      <c r="C2" s="5" t="s">
        <v>21</v>
      </c>
      <c r="D2" s="4"/>
      <c r="E2" s="30" t="s">
        <v>22</v>
      </c>
      <c r="F2" s="31"/>
      <c r="G2" s="32"/>
      <c r="H2" s="6" t="s">
        <v>23</v>
      </c>
      <c r="I2" s="7"/>
      <c r="J2" s="8"/>
      <c r="K2" s="15" t="s">
        <v>17</v>
      </c>
      <c r="L2" s="16"/>
      <c r="M2" s="17"/>
    </row>
    <row r="3" spans="2:13" ht="14.25" customHeight="1" x14ac:dyDescent="0.45">
      <c r="B3" s="24">
        <f>KPIs!B5</f>
        <v>0.13692272940742756</v>
      </c>
      <c r="C3" s="25"/>
      <c r="D3" s="26"/>
      <c r="E3" s="33">
        <f>KPIs!B6</f>
        <v>0.22577310344215762</v>
      </c>
      <c r="F3" s="34"/>
      <c r="G3" s="35"/>
      <c r="H3" s="9">
        <f>KPIs!B7</f>
        <v>0.42929263021030695</v>
      </c>
      <c r="I3" s="10"/>
      <c r="J3" s="11"/>
      <c r="K3" s="18">
        <f>KPIs!B8</f>
        <v>-0.35617218247976468</v>
      </c>
      <c r="L3" s="19"/>
      <c r="M3" s="20"/>
    </row>
    <row r="4" spans="2:13" ht="14.25" customHeight="1" thickBot="1" x14ac:dyDescent="0.5">
      <c r="B4" s="27"/>
      <c r="C4" s="28"/>
      <c r="D4" s="29"/>
      <c r="E4" s="36"/>
      <c r="F4" s="37"/>
      <c r="G4" s="38"/>
      <c r="H4" s="12"/>
      <c r="I4" s="13"/>
      <c r="J4" s="14"/>
      <c r="K4" s="21"/>
      <c r="L4" s="22"/>
      <c r="M4" s="23"/>
    </row>
    <row r="5" spans="2:13" x14ac:dyDescent="0.45">
      <c r="B5" s="2"/>
    </row>
  </sheetData>
  <mergeCells count="7">
    <mergeCell ref="H2:J2"/>
    <mergeCell ref="H3:J4"/>
    <mergeCell ref="K2:M2"/>
    <mergeCell ref="K3:M4"/>
    <mergeCell ref="B3:D4"/>
    <mergeCell ref="E2:G2"/>
    <mergeCell ref="E3:G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Data_QQQ</vt:lpstr>
      <vt:lpstr>Calcs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Swaminathan, Sruthi</dc:creator>
  <cp:lastModifiedBy>Sruthi Swaminathan</cp:lastModifiedBy>
  <cp:lastPrinted>2026-02-23T17:24:24Z</cp:lastPrinted>
  <dcterms:created xsi:type="dcterms:W3CDTF">2026-02-23T10:34:37Z</dcterms:created>
  <dcterms:modified xsi:type="dcterms:W3CDTF">2026-02-23T17:28:20Z</dcterms:modified>
</cp:coreProperties>
</file>